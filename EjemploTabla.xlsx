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LectorOCRTablas\"/>
    </mc:Choice>
  </mc:AlternateContent>
  <xr:revisionPtr revIDLastSave="0" documentId="13_ncr:1_{A047294E-8FFE-4182-BF04-0921585A3ED7}" xr6:coauthVersionLast="47" xr6:coauthVersionMax="47" xr10:uidLastSave="{00000000-0000-0000-0000-000000000000}"/>
  <bookViews>
    <workbookView xWindow="19110" yWindow="0" windowWidth="19380" windowHeight="20970" activeTab="1" xr2:uid="{608736EE-03F0-404B-983C-B04CF5B4E67E}"/>
  </bookViews>
  <sheets>
    <sheet name="SG_TC04_01" sheetId="2" r:id="rId1"/>
    <sheet name="RPR_TC01_01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7" i="4" l="1"/>
  <c r="D77" i="4"/>
  <c r="F77" i="4" s="1"/>
  <c r="E76" i="4"/>
  <c r="D76" i="4"/>
  <c r="E75" i="4"/>
  <c r="D75" i="4"/>
  <c r="F76" i="4" s="1"/>
  <c r="E74" i="4"/>
  <c r="D74" i="4"/>
  <c r="F74" i="4" s="1"/>
  <c r="F73" i="4"/>
  <c r="E73" i="4"/>
  <c r="D73" i="4"/>
  <c r="F72" i="4"/>
  <c r="E72" i="4"/>
  <c r="D72" i="4"/>
  <c r="F71" i="4"/>
  <c r="E71" i="4"/>
  <c r="D71" i="4"/>
  <c r="F70" i="4"/>
  <c r="E70" i="4"/>
  <c r="D70" i="4"/>
  <c r="F69" i="4"/>
  <c r="E69" i="4"/>
  <c r="D69" i="4"/>
  <c r="F68" i="4"/>
  <c r="E68" i="4"/>
  <c r="D68" i="4"/>
  <c r="F67" i="4"/>
  <c r="E67" i="4"/>
  <c r="D67" i="4"/>
  <c r="F66" i="4"/>
  <c r="E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F53" i="4"/>
  <c r="E53" i="4"/>
  <c r="D53" i="4"/>
  <c r="F52" i="4"/>
  <c r="E52" i="4"/>
  <c r="D52" i="4"/>
  <c r="F51" i="4"/>
  <c r="E51" i="4"/>
  <c r="D51" i="4"/>
  <c r="F50" i="4"/>
  <c r="E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5" i="4"/>
  <c r="E45" i="4"/>
  <c r="D45" i="4"/>
  <c r="F44" i="4"/>
  <c r="E44" i="4"/>
  <c r="D44" i="4"/>
  <c r="F43" i="4"/>
  <c r="E43" i="4"/>
  <c r="D43" i="4"/>
  <c r="F42" i="4"/>
  <c r="E42" i="4"/>
  <c r="D42" i="4"/>
  <c r="F41" i="4"/>
  <c r="E41" i="4"/>
  <c r="D41" i="4"/>
  <c r="F40" i="4"/>
  <c r="E40" i="4"/>
  <c r="D40" i="4"/>
  <c r="F39" i="4"/>
  <c r="E39" i="4"/>
  <c r="D39" i="4"/>
  <c r="F38" i="4"/>
  <c r="E38" i="4"/>
  <c r="D38" i="4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M12" i="4"/>
  <c r="H12" i="4"/>
  <c r="K12" i="4" s="1"/>
  <c r="E12" i="4"/>
  <c r="D12" i="4"/>
  <c r="F12" i="4" s="1"/>
  <c r="M11" i="4"/>
  <c r="K11" i="4"/>
  <c r="H11" i="4"/>
  <c r="E11" i="4"/>
  <c r="D11" i="4"/>
  <c r="F11" i="4" s="1"/>
  <c r="M10" i="4"/>
  <c r="K10" i="4"/>
  <c r="H10" i="4"/>
  <c r="E10" i="4"/>
  <c r="D10" i="4"/>
  <c r="M9" i="4"/>
  <c r="H9" i="4"/>
  <c r="K9" i="4" s="1"/>
  <c r="E9" i="4"/>
  <c r="D9" i="4"/>
  <c r="F9" i="4" s="1"/>
  <c r="M8" i="4"/>
  <c r="H8" i="4"/>
  <c r="K8" i="4" s="1"/>
  <c r="E8" i="4"/>
  <c r="F8" i="4" s="1"/>
  <c r="D8" i="4"/>
  <c r="M7" i="4"/>
  <c r="H7" i="4"/>
  <c r="K7" i="4" s="1"/>
  <c r="E7" i="4"/>
  <c r="D7" i="4"/>
  <c r="M6" i="4"/>
  <c r="H6" i="4"/>
  <c r="K6" i="4" s="1"/>
  <c r="E6" i="4"/>
  <c r="D6" i="4"/>
  <c r="F6" i="4" s="1"/>
  <c r="M5" i="4"/>
  <c r="K5" i="4"/>
  <c r="H5" i="4"/>
  <c r="E5" i="4"/>
  <c r="D5" i="4"/>
  <c r="F5" i="4" s="1"/>
  <c r="M4" i="4"/>
  <c r="H4" i="4"/>
  <c r="K4" i="4" s="1"/>
  <c r="E4" i="4"/>
  <c r="D4" i="4"/>
  <c r="M3" i="4"/>
  <c r="H3" i="4"/>
  <c r="K3" i="4" s="1"/>
  <c r="E3" i="4"/>
  <c r="D3" i="4"/>
  <c r="F4" i="4" s="1"/>
  <c r="C3" i="4"/>
  <c r="N2" i="4"/>
  <c r="N3" i="4" s="1"/>
  <c r="M2" i="4"/>
  <c r="K2" i="4"/>
  <c r="E2" i="4"/>
  <c r="D2" i="4"/>
  <c r="M1" i="4"/>
  <c r="M3" i="2"/>
  <c r="M4" i="2"/>
  <c r="M5" i="2"/>
  <c r="M6" i="2"/>
  <c r="M7" i="2"/>
  <c r="M8" i="2"/>
  <c r="M9" i="2"/>
  <c r="M10" i="2"/>
  <c r="M11" i="2"/>
  <c r="M12" i="2"/>
  <c r="M2" i="2"/>
  <c r="M1" i="2"/>
  <c r="N3" i="2"/>
  <c r="N4" i="2" s="1"/>
  <c r="N5" i="2" s="1"/>
  <c r="N6" i="2" s="1"/>
  <c r="N7" i="2" s="1"/>
  <c r="N8" i="2" s="1"/>
  <c r="N9" i="2" s="1"/>
  <c r="N10" i="2" s="1"/>
  <c r="N11" i="2" s="1"/>
  <c r="N12" i="2" s="1"/>
  <c r="N2" i="2"/>
  <c r="K2" i="2"/>
  <c r="K3" i="2"/>
  <c r="K4" i="2"/>
  <c r="K5" i="2"/>
  <c r="K6" i="2"/>
  <c r="K7" i="2"/>
  <c r="K8" i="2"/>
  <c r="K9" i="2"/>
  <c r="K10" i="2"/>
  <c r="K11" i="2"/>
  <c r="K12" i="2"/>
  <c r="H4" i="2"/>
  <c r="H5" i="2"/>
  <c r="H6" i="2"/>
  <c r="H7" i="2"/>
  <c r="H8" i="2"/>
  <c r="H9" i="2"/>
  <c r="H10" i="2"/>
  <c r="H11" i="2"/>
  <c r="H12" i="2"/>
  <c r="H3" i="2"/>
  <c r="C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2" i="2"/>
  <c r="D3" i="2"/>
  <c r="D4" i="2"/>
  <c r="D5" i="2"/>
  <c r="F5" i="2" s="1"/>
  <c r="D6" i="2"/>
  <c r="F6" i="2" s="1"/>
  <c r="D7" i="2"/>
  <c r="D8" i="2"/>
  <c r="D9" i="2"/>
  <c r="D10" i="2"/>
  <c r="D11" i="2"/>
  <c r="D12" i="2"/>
  <c r="D13" i="2"/>
  <c r="D14" i="2"/>
  <c r="D15" i="2"/>
  <c r="F15" i="2" s="1"/>
  <c r="D16" i="2"/>
  <c r="F16" i="2" s="1"/>
  <c r="D17" i="2"/>
  <c r="F17" i="2" s="1"/>
  <c r="D18" i="2"/>
  <c r="F18" i="2" s="1"/>
  <c r="D19" i="2"/>
  <c r="D20" i="2"/>
  <c r="D21" i="2"/>
  <c r="D22" i="2"/>
  <c r="D23" i="2"/>
  <c r="D24" i="2"/>
  <c r="D25" i="2"/>
  <c r="D26" i="2"/>
  <c r="D27" i="2"/>
  <c r="F27" i="2" s="1"/>
  <c r="D28" i="2"/>
  <c r="F28" i="2" s="1"/>
  <c r="D29" i="2"/>
  <c r="F29" i="2" s="1"/>
  <c r="D30" i="2"/>
  <c r="F30" i="2" s="1"/>
  <c r="D31" i="2"/>
  <c r="D32" i="2"/>
  <c r="D33" i="2"/>
  <c r="D34" i="2"/>
  <c r="D35" i="2"/>
  <c r="D36" i="2"/>
  <c r="D37" i="2"/>
  <c r="D38" i="2"/>
  <c r="D39" i="2"/>
  <c r="F39" i="2" s="1"/>
  <c r="D40" i="2"/>
  <c r="F40" i="2" s="1"/>
  <c r="D41" i="2"/>
  <c r="F41" i="2" s="1"/>
  <c r="D42" i="2"/>
  <c r="F42" i="2" s="1"/>
  <c r="D43" i="2"/>
  <c r="D44" i="2"/>
  <c r="D45" i="2"/>
  <c r="D46" i="2"/>
  <c r="D47" i="2"/>
  <c r="D48" i="2"/>
  <c r="D49" i="2"/>
  <c r="D50" i="2"/>
  <c r="D51" i="2"/>
  <c r="F51" i="2" s="1"/>
  <c r="D52" i="2"/>
  <c r="D53" i="2"/>
  <c r="F53" i="2" s="1"/>
  <c r="D54" i="2"/>
  <c r="F54" i="2" s="1"/>
  <c r="D55" i="2"/>
  <c r="D56" i="2"/>
  <c r="D57" i="2"/>
  <c r="D58" i="2"/>
  <c r="D59" i="2"/>
  <c r="D60" i="2"/>
  <c r="D61" i="2"/>
  <c r="D62" i="2"/>
  <c r="D63" i="2"/>
  <c r="F63" i="2" s="1"/>
  <c r="D64" i="2"/>
  <c r="F64" i="2" s="1"/>
  <c r="D65" i="2"/>
  <c r="D66" i="2"/>
  <c r="F66" i="2" s="1"/>
  <c r="D67" i="2"/>
  <c r="D68" i="2"/>
  <c r="D69" i="2"/>
  <c r="D70" i="2"/>
  <c r="D71" i="2"/>
  <c r="D72" i="2"/>
  <c r="D73" i="2"/>
  <c r="D74" i="2"/>
  <c r="D75" i="2"/>
  <c r="F75" i="2" s="1"/>
  <c r="D76" i="2"/>
  <c r="F76" i="2" s="1"/>
  <c r="D77" i="2"/>
  <c r="F77" i="2" s="1"/>
  <c r="D2" i="2"/>
  <c r="N4" i="4" l="1"/>
  <c r="N5" i="4" s="1"/>
  <c r="N6" i="4" s="1"/>
  <c r="N7" i="4" s="1"/>
  <c r="N8" i="4" s="1"/>
  <c r="N9" i="4" s="1"/>
  <c r="N10" i="4" s="1"/>
  <c r="N11" i="4" s="1"/>
  <c r="N12" i="4" s="1"/>
  <c r="F10" i="4"/>
  <c r="F75" i="4"/>
  <c r="F7" i="4"/>
  <c r="F3" i="4"/>
  <c r="F2" i="4" s="1"/>
  <c r="F34" i="2"/>
  <c r="F26" i="2"/>
  <c r="F70" i="2"/>
  <c r="F22" i="2"/>
  <c r="F38" i="2"/>
  <c r="F46" i="2"/>
  <c r="F10" i="2"/>
  <c r="F65" i="2"/>
  <c r="F74" i="2"/>
  <c r="F62" i="2"/>
  <c r="F50" i="2"/>
  <c r="F13" i="2"/>
  <c r="F58" i="2"/>
  <c r="F14" i="2"/>
  <c r="F4" i="2"/>
  <c r="F3" i="2"/>
  <c r="F2" i="2" s="1"/>
  <c r="F68" i="2"/>
  <c r="F56" i="2"/>
  <c r="F45" i="2"/>
  <c r="F32" i="2"/>
  <c r="F21" i="2"/>
  <c r="F8" i="2"/>
  <c r="F72" i="2"/>
  <c r="F60" i="2"/>
  <c r="F48" i="2"/>
  <c r="F36" i="2"/>
  <c r="F24" i="2"/>
  <c r="F12" i="2"/>
  <c r="F67" i="2"/>
  <c r="F55" i="2"/>
  <c r="F43" i="2"/>
  <c r="F31" i="2"/>
  <c r="F19" i="2"/>
  <c r="F7" i="2"/>
  <c r="F71" i="2"/>
  <c r="F59" i="2"/>
  <c r="F47" i="2"/>
  <c r="F35" i="2"/>
  <c r="F23" i="2"/>
  <c r="F11" i="2"/>
  <c r="F69" i="2"/>
  <c r="F33" i="2"/>
  <c r="F9" i="2"/>
  <c r="F44" i="2"/>
  <c r="F20" i="2"/>
  <c r="F73" i="2"/>
  <c r="F61" i="2"/>
  <c r="F49" i="2"/>
  <c r="F37" i="2"/>
  <c r="F25" i="2"/>
  <c r="F57" i="2"/>
  <c r="F52" i="2"/>
</calcChain>
</file>

<file path=xl/sharedStrings.xml><?xml version="1.0" encoding="utf-8"?>
<sst xmlns="http://schemas.openxmlformats.org/spreadsheetml/2006/main" count="22" uniqueCount="10">
  <si>
    <t>Distancia (km)</t>
  </si>
  <si>
    <t>Tiempo (mm:ss,d)</t>
  </si>
  <si>
    <t>km</t>
  </si>
  <si>
    <t>seg</t>
  </si>
  <si>
    <t>Velocidad</t>
  </si>
  <si>
    <t>Delta seg</t>
  </si>
  <si>
    <t>Distancia hasta</t>
  </si>
  <si>
    <t>Tiempo (seg)</t>
  </si>
  <si>
    <t>Distancia desde</t>
  </si>
  <si>
    <t>Tiempo de 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</si>
</sst>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47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85F0-9905-4CD2-9790-FCB7EAAC5145}">
  <dimension ref="A1:N7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RowHeight="14.5" x14ac:dyDescent="0.35"/>
  <cols>
    <col min="1" max="1" width="12.6328125" bestFit="1" customWidth="1"/>
    <col min="2" max="2" width="15.90625" bestFit="1" customWidth="1"/>
    <col min="3" max="3" width="15.90625" customWidth="1"/>
    <col min="6" max="6" width="9.36328125" bestFit="1" customWidth="1"/>
    <col min="10" max="10" width="8.90625" bestFit="1" customWidth="1"/>
  </cols>
  <sheetData>
    <row r="1" spans="1:14" s="6" customFormat="1" ht="31.5" customHeight="1" x14ac:dyDescent="0.35">
      <c r="A1" s="6" t="s">
        <v>0</v>
      </c>
      <c r="B1" s="6" t="s">
        <v>1</v>
      </c>
      <c r="C1" s="6" t="s">
        <v>5</v>
      </c>
      <c r="D1" s="6" t="s">
        <v>2</v>
      </c>
      <c r="E1" s="6" t="s">
        <v>3</v>
      </c>
      <c r="F1" s="6" t="s">
        <v>4</v>
      </c>
      <c r="H1" s="7" t="s">
        <v>8</v>
      </c>
      <c r="I1" s="7" t="s">
        <v>6</v>
      </c>
      <c r="J1" s="7" t="s">
        <v>4</v>
      </c>
      <c r="K1" s="7" t="s">
        <v>7</v>
      </c>
      <c r="M1" s="6" t="str">
        <f t="shared" ref="M1:M12" si="0">I1</f>
        <v>Distancia hasta</v>
      </c>
      <c r="N1" s="6" t="s">
        <v>9</v>
      </c>
    </row>
    <row r="2" spans="1:14" x14ac:dyDescent="0.35">
      <c r="A2">
        <v>0</v>
      </c>
      <c r="B2" s="2">
        <v>0</v>
      </c>
      <c r="C2" s="2">
        <v>0</v>
      </c>
      <c r="D2" s="5">
        <f>A2/1000</f>
        <v>0</v>
      </c>
      <c r="E2" s="4">
        <f>B2*24*3600</f>
        <v>0</v>
      </c>
      <c r="F2" s="3">
        <f>F3</f>
        <v>25</v>
      </c>
      <c r="H2" s="8">
        <v>0</v>
      </c>
      <c r="I2" s="9">
        <v>0.3</v>
      </c>
      <c r="J2" s="10">
        <v>24.999999999999989</v>
      </c>
      <c r="K2" s="11">
        <f t="shared" ref="K2:K11" si="1">(I2-H2)/J2*3600</f>
        <v>43.200000000000017</v>
      </c>
      <c r="M2" s="5">
        <f t="shared" si="0"/>
        <v>0.3</v>
      </c>
      <c r="N2" s="2">
        <f>K2/24/3600</f>
        <v>5.0000000000000023E-4</v>
      </c>
    </row>
    <row r="3" spans="1:14" x14ac:dyDescent="0.35">
      <c r="A3">
        <v>100</v>
      </c>
      <c r="B3" s="2">
        <v>1.6666666666666666E-4</v>
      </c>
      <c r="C3" s="2">
        <f>(B3-B2)</f>
        <v>1.6666666666666666E-4</v>
      </c>
      <c r="D3" s="5">
        <f t="shared" ref="D3:D66" si="2">A3/1000</f>
        <v>0.1</v>
      </c>
      <c r="E3" s="4">
        <f t="shared" ref="E3:E66" si="3">B3*24*3600</f>
        <v>14.4</v>
      </c>
      <c r="F3" s="3">
        <f>(D3-D2)/((E3-E2)/3600)</f>
        <v>25</v>
      </c>
      <c r="H3" s="9">
        <f>I2</f>
        <v>0.3</v>
      </c>
      <c r="I3" s="9">
        <v>0.6</v>
      </c>
      <c r="J3" s="10">
        <v>30.000000000000032</v>
      </c>
      <c r="K3" s="11">
        <f t="shared" si="1"/>
        <v>35.999999999999964</v>
      </c>
      <c r="M3" s="5">
        <f t="shared" si="0"/>
        <v>0.6</v>
      </c>
      <c r="N3" s="2">
        <f t="shared" ref="N3:N12" si="4">N2+K3/24/3600</f>
        <v>9.1666666666666654E-4</v>
      </c>
    </row>
    <row r="4" spans="1:14" x14ac:dyDescent="0.35">
      <c r="A4">
        <v>200</v>
      </c>
      <c r="B4" s="2">
        <v>3.3333333333333332E-4</v>
      </c>
      <c r="C4" s="2"/>
      <c r="D4" s="5">
        <f t="shared" si="2"/>
        <v>0.2</v>
      </c>
      <c r="E4" s="4">
        <f t="shared" si="3"/>
        <v>28.8</v>
      </c>
      <c r="F4" s="3">
        <f t="shared" ref="F4:F67" si="5">(D4-D3)/((E4-E3)/3600)</f>
        <v>25</v>
      </c>
      <c r="H4" s="9">
        <f t="shared" ref="H4:H12" si="6">I3</f>
        <v>0.6</v>
      </c>
      <c r="I4" s="9">
        <v>2.6</v>
      </c>
      <c r="J4" s="10">
        <v>50.000000000000121</v>
      </c>
      <c r="K4" s="11">
        <f t="shared" si="1"/>
        <v>143.99999999999966</v>
      </c>
      <c r="M4" s="5">
        <f t="shared" si="0"/>
        <v>2.6</v>
      </c>
      <c r="N4" s="2">
        <f t="shared" si="4"/>
        <v>2.583333333333329E-3</v>
      </c>
    </row>
    <row r="5" spans="1:14" x14ac:dyDescent="0.35">
      <c r="A5">
        <v>300</v>
      </c>
      <c r="B5" s="2">
        <v>5.0000000000000001E-4</v>
      </c>
      <c r="C5" s="2"/>
      <c r="D5" s="5">
        <f t="shared" si="2"/>
        <v>0.3</v>
      </c>
      <c r="E5" s="4">
        <f t="shared" si="3"/>
        <v>43.2</v>
      </c>
      <c r="F5" s="3">
        <f t="shared" si="5"/>
        <v>24.999999999999989</v>
      </c>
      <c r="H5" s="9">
        <f t="shared" si="6"/>
        <v>2.6</v>
      </c>
      <c r="I5" s="9">
        <v>3.1</v>
      </c>
      <c r="J5" s="10">
        <v>40</v>
      </c>
      <c r="K5" s="11">
        <f t="shared" si="1"/>
        <v>45</v>
      </c>
      <c r="M5" s="5">
        <f t="shared" si="0"/>
        <v>3.1</v>
      </c>
      <c r="N5" s="2">
        <f t="shared" si="4"/>
        <v>3.1041666666666622E-3</v>
      </c>
    </row>
    <row r="6" spans="1:14" x14ac:dyDescent="0.35">
      <c r="A6">
        <v>400</v>
      </c>
      <c r="B6" s="2">
        <v>6.3888888888888893E-4</v>
      </c>
      <c r="C6" s="2"/>
      <c r="D6" s="5">
        <f t="shared" si="2"/>
        <v>0.4</v>
      </c>
      <c r="E6" s="4">
        <f t="shared" si="3"/>
        <v>55.2</v>
      </c>
      <c r="F6" s="3">
        <f t="shared" si="5"/>
        <v>30.000000000000007</v>
      </c>
      <c r="H6" s="9">
        <f t="shared" si="6"/>
        <v>3.1</v>
      </c>
      <c r="I6" s="9">
        <v>3.3</v>
      </c>
      <c r="J6" s="10">
        <v>35.29</v>
      </c>
      <c r="K6" s="11">
        <f t="shared" si="1"/>
        <v>20.402380277699038</v>
      </c>
      <c r="M6" s="5">
        <f t="shared" si="0"/>
        <v>3.3</v>
      </c>
      <c r="N6" s="2">
        <f t="shared" si="4"/>
        <v>3.3403053272881788E-3</v>
      </c>
    </row>
    <row r="7" spans="1:14" x14ac:dyDescent="0.35">
      <c r="A7">
        <v>500</v>
      </c>
      <c r="B7" s="2">
        <v>7.7777777777777784E-4</v>
      </c>
      <c r="C7" s="2"/>
      <c r="D7" s="5">
        <f t="shared" si="2"/>
        <v>0.5</v>
      </c>
      <c r="E7" s="4">
        <f t="shared" si="3"/>
        <v>67.2</v>
      </c>
      <c r="F7" s="3">
        <f t="shared" si="5"/>
        <v>29.999999999999993</v>
      </c>
      <c r="H7" s="9">
        <f t="shared" si="6"/>
        <v>3.3</v>
      </c>
      <c r="I7" s="9">
        <v>3.6</v>
      </c>
      <c r="J7" s="10">
        <v>34.951456310679603</v>
      </c>
      <c r="K7" s="11">
        <f t="shared" si="1"/>
        <v>30.900000000000038</v>
      </c>
      <c r="M7" s="5">
        <f t="shared" si="0"/>
        <v>3.6</v>
      </c>
      <c r="N7" s="2">
        <f t="shared" si="4"/>
        <v>3.6979442161770683E-3</v>
      </c>
    </row>
    <row r="8" spans="1:14" x14ac:dyDescent="0.35">
      <c r="A8">
        <v>600</v>
      </c>
      <c r="B8" s="2">
        <v>9.1666666666666665E-4</v>
      </c>
      <c r="C8" s="2"/>
      <c r="D8" s="5">
        <f t="shared" si="2"/>
        <v>0.6</v>
      </c>
      <c r="E8" s="4">
        <f t="shared" si="3"/>
        <v>79.199999999999989</v>
      </c>
      <c r="F8" s="3">
        <f t="shared" si="5"/>
        <v>30.000000000000032</v>
      </c>
      <c r="H8" s="9">
        <f t="shared" si="6"/>
        <v>3.6</v>
      </c>
      <c r="I8" s="9">
        <v>4</v>
      </c>
      <c r="J8" s="10">
        <v>29.999999999999883</v>
      </c>
      <c r="K8" s="11">
        <f t="shared" si="1"/>
        <v>48.000000000000178</v>
      </c>
      <c r="M8" s="5">
        <f t="shared" si="0"/>
        <v>4</v>
      </c>
      <c r="N8" s="2">
        <f t="shared" si="4"/>
        <v>4.2534997717326257E-3</v>
      </c>
    </row>
    <row r="9" spans="1:14" x14ac:dyDescent="0.35">
      <c r="A9">
        <v>700</v>
      </c>
      <c r="B9" s="2">
        <v>1E-3</v>
      </c>
      <c r="C9" s="2"/>
      <c r="D9" s="5">
        <f t="shared" si="2"/>
        <v>0.7</v>
      </c>
      <c r="E9" s="4">
        <f t="shared" si="3"/>
        <v>86.4</v>
      </c>
      <c r="F9" s="3">
        <f t="shared" si="5"/>
        <v>49.999999999999872</v>
      </c>
      <c r="H9" s="9">
        <f t="shared" si="6"/>
        <v>4</v>
      </c>
      <c r="I9" s="9">
        <v>4.3</v>
      </c>
      <c r="J9" s="10">
        <v>39.999999999999858</v>
      </c>
      <c r="K9" s="11">
        <f t="shared" si="1"/>
        <v>27.000000000000082</v>
      </c>
      <c r="M9" s="5">
        <f t="shared" si="0"/>
        <v>4.3</v>
      </c>
      <c r="N9" s="2">
        <f t="shared" si="4"/>
        <v>4.5659997717326269E-3</v>
      </c>
    </row>
    <row r="10" spans="1:14" x14ac:dyDescent="0.35">
      <c r="A10">
        <v>800</v>
      </c>
      <c r="B10" s="2">
        <v>1.0833333333333333E-3</v>
      </c>
      <c r="C10" s="2"/>
      <c r="D10" s="5">
        <f t="shared" si="2"/>
        <v>0.8</v>
      </c>
      <c r="E10" s="4">
        <f t="shared" si="3"/>
        <v>93.6</v>
      </c>
      <c r="F10" s="3">
        <f t="shared" si="5"/>
        <v>50.000000000000121</v>
      </c>
      <c r="H10" s="9">
        <f t="shared" si="6"/>
        <v>4.3</v>
      </c>
      <c r="I10" s="9">
        <v>4.4000000000000004</v>
      </c>
      <c r="J10" s="10">
        <v>44.444444444444557</v>
      </c>
      <c r="K10" s="11">
        <f t="shared" si="1"/>
        <v>8.1000000000000227</v>
      </c>
      <c r="M10" s="5">
        <f t="shared" si="0"/>
        <v>4.4000000000000004</v>
      </c>
      <c r="N10" s="2">
        <f t="shared" si="4"/>
        <v>4.6597497717326269E-3</v>
      </c>
    </row>
    <row r="11" spans="1:14" x14ac:dyDescent="0.35">
      <c r="A11">
        <v>900</v>
      </c>
      <c r="B11" s="2">
        <v>1.1666666666666665E-3</v>
      </c>
      <c r="C11" s="2"/>
      <c r="D11" s="5">
        <f t="shared" si="2"/>
        <v>0.9</v>
      </c>
      <c r="E11" s="4">
        <f t="shared" si="3"/>
        <v>100.79999999999998</v>
      </c>
      <c r="F11" s="3">
        <f t="shared" si="5"/>
        <v>50.000000000000064</v>
      </c>
      <c r="H11" s="9">
        <f t="shared" si="6"/>
        <v>4.4000000000000004</v>
      </c>
      <c r="I11" s="9">
        <v>7.4</v>
      </c>
      <c r="J11" s="10">
        <v>49.99999999999995</v>
      </c>
      <c r="K11" s="11">
        <f t="shared" si="1"/>
        <v>216.00000000000023</v>
      </c>
      <c r="M11" s="5">
        <f t="shared" si="0"/>
        <v>7.4</v>
      </c>
      <c r="N11" s="2">
        <f t="shared" si="4"/>
        <v>7.1597497717326292E-3</v>
      </c>
    </row>
    <row r="12" spans="1:14" x14ac:dyDescent="0.35">
      <c r="A12" s="1">
        <v>1000</v>
      </c>
      <c r="B12" s="2">
        <v>1.25E-3</v>
      </c>
      <c r="C12" s="2"/>
      <c r="D12" s="5">
        <f t="shared" si="2"/>
        <v>1</v>
      </c>
      <c r="E12" s="4">
        <f t="shared" si="3"/>
        <v>108</v>
      </c>
      <c r="F12" s="3">
        <f t="shared" si="5"/>
        <v>49.999999999999872</v>
      </c>
      <c r="H12" s="9">
        <f t="shared" si="6"/>
        <v>7.4</v>
      </c>
      <c r="I12" s="9">
        <v>7.4160000000000004</v>
      </c>
      <c r="J12" s="10">
        <v>48.000000000002771</v>
      </c>
      <c r="K12" s="11">
        <f>(I12-H12)/J12*3600</f>
        <v>1.1999999999999318</v>
      </c>
      <c r="M12" s="5">
        <f t="shared" si="0"/>
        <v>7.4160000000000004</v>
      </c>
      <c r="N12" s="2">
        <f t="shared" si="4"/>
        <v>7.1736386606215171E-3</v>
      </c>
    </row>
    <row r="13" spans="1:14" x14ac:dyDescent="0.35">
      <c r="A13" s="1">
        <v>1100</v>
      </c>
      <c r="B13" s="2">
        <v>1.3333333333333333E-3</v>
      </c>
      <c r="C13" s="2"/>
      <c r="D13" s="5">
        <f t="shared" si="2"/>
        <v>1.1000000000000001</v>
      </c>
      <c r="E13" s="4">
        <f t="shared" si="3"/>
        <v>115.2</v>
      </c>
      <c r="F13" s="3">
        <f t="shared" si="5"/>
        <v>50.000000000000021</v>
      </c>
      <c r="K13" s="2"/>
    </row>
    <row r="14" spans="1:14" x14ac:dyDescent="0.35">
      <c r="A14" s="1">
        <v>1200</v>
      </c>
      <c r="B14" s="2">
        <v>1.4166666666666668E-3</v>
      </c>
      <c r="C14" s="2"/>
      <c r="D14" s="5">
        <f t="shared" si="2"/>
        <v>1.2</v>
      </c>
      <c r="E14" s="4">
        <f t="shared" si="3"/>
        <v>122.4</v>
      </c>
      <c r="F14" s="3">
        <f t="shared" si="5"/>
        <v>49.999999999999908</v>
      </c>
    </row>
    <row r="15" spans="1:14" x14ac:dyDescent="0.35">
      <c r="A15" s="1">
        <v>1300</v>
      </c>
      <c r="B15" s="2">
        <v>1.5E-3</v>
      </c>
      <c r="C15" s="2"/>
      <c r="D15" s="5">
        <f t="shared" si="2"/>
        <v>1.3</v>
      </c>
      <c r="E15" s="4">
        <f t="shared" si="3"/>
        <v>129.60000000000002</v>
      </c>
      <c r="F15" s="3">
        <f t="shared" si="5"/>
        <v>49.999999999999922</v>
      </c>
    </row>
    <row r="16" spans="1:14" x14ac:dyDescent="0.35">
      <c r="A16" s="1">
        <v>1400</v>
      </c>
      <c r="B16" s="2">
        <v>1.5833333333333335E-3</v>
      </c>
      <c r="C16" s="2"/>
      <c r="D16" s="5">
        <f t="shared" si="2"/>
        <v>1.4</v>
      </c>
      <c r="E16" s="4">
        <f t="shared" si="3"/>
        <v>136.80000000000001</v>
      </c>
      <c r="F16" s="3">
        <f t="shared" si="5"/>
        <v>50.000000000000007</v>
      </c>
    </row>
    <row r="17" spans="1:6" x14ac:dyDescent="0.35">
      <c r="A17" s="1">
        <v>1500</v>
      </c>
      <c r="B17" s="2">
        <v>1.6666666666666668E-3</v>
      </c>
      <c r="C17" s="2"/>
      <c r="D17" s="5">
        <f t="shared" si="2"/>
        <v>1.5</v>
      </c>
      <c r="E17" s="4">
        <f t="shared" si="3"/>
        <v>144</v>
      </c>
      <c r="F17" s="3">
        <f t="shared" si="5"/>
        <v>50.000000000000121</v>
      </c>
    </row>
    <row r="18" spans="1:6" x14ac:dyDescent="0.35">
      <c r="A18" s="1">
        <v>1600</v>
      </c>
      <c r="B18" s="2">
        <v>1.7499999999999998E-3</v>
      </c>
      <c r="C18" s="2"/>
      <c r="D18" s="5">
        <f t="shared" si="2"/>
        <v>1.6</v>
      </c>
      <c r="E18" s="4">
        <f t="shared" si="3"/>
        <v>151.19999999999999</v>
      </c>
      <c r="F18" s="3">
        <f t="shared" si="5"/>
        <v>50.000000000000121</v>
      </c>
    </row>
    <row r="19" spans="1:6" x14ac:dyDescent="0.35">
      <c r="A19" s="1">
        <v>1700</v>
      </c>
      <c r="B19" s="2">
        <v>1.8333333333333333E-3</v>
      </c>
      <c r="C19" s="2"/>
      <c r="D19" s="5">
        <f t="shared" si="2"/>
        <v>1.7</v>
      </c>
      <c r="E19" s="4">
        <f t="shared" si="3"/>
        <v>158.39999999999998</v>
      </c>
      <c r="F19" s="3">
        <f t="shared" si="5"/>
        <v>50.000000000000007</v>
      </c>
    </row>
    <row r="20" spans="1:6" x14ac:dyDescent="0.35">
      <c r="A20" s="1">
        <v>1800</v>
      </c>
      <c r="B20" s="2">
        <v>1.9166666666666666E-3</v>
      </c>
      <c r="C20" s="2"/>
      <c r="D20" s="5">
        <f t="shared" si="2"/>
        <v>1.8</v>
      </c>
      <c r="E20" s="4">
        <f t="shared" si="3"/>
        <v>165.6</v>
      </c>
      <c r="F20" s="3">
        <f t="shared" si="5"/>
        <v>49.999999999999922</v>
      </c>
    </row>
    <row r="21" spans="1:6" x14ac:dyDescent="0.35">
      <c r="A21" s="1">
        <v>1900</v>
      </c>
      <c r="B21" s="2">
        <v>2E-3</v>
      </c>
      <c r="C21" s="2"/>
      <c r="D21" s="5">
        <f t="shared" si="2"/>
        <v>1.9</v>
      </c>
      <c r="E21" s="4">
        <f t="shared" si="3"/>
        <v>172.8</v>
      </c>
      <c r="F21" s="3">
        <f t="shared" si="5"/>
        <v>49.999999999999815</v>
      </c>
    </row>
    <row r="22" spans="1:6" x14ac:dyDescent="0.35">
      <c r="A22" s="1">
        <v>2000</v>
      </c>
      <c r="B22" s="2">
        <v>2.0833333333333333E-3</v>
      </c>
      <c r="C22" s="2"/>
      <c r="D22" s="5">
        <f t="shared" si="2"/>
        <v>2</v>
      </c>
      <c r="E22" s="4">
        <f t="shared" si="3"/>
        <v>180</v>
      </c>
      <c r="F22" s="3">
        <f t="shared" si="5"/>
        <v>50.000000000000121</v>
      </c>
    </row>
    <row r="23" spans="1:6" x14ac:dyDescent="0.35">
      <c r="A23" s="1">
        <v>2100</v>
      </c>
      <c r="B23" s="2">
        <v>2.1666666666666666E-3</v>
      </c>
      <c r="C23" s="2"/>
      <c r="D23" s="5">
        <f t="shared" si="2"/>
        <v>2.1</v>
      </c>
      <c r="E23" s="4">
        <f t="shared" si="3"/>
        <v>187.2</v>
      </c>
      <c r="F23" s="3">
        <f t="shared" si="5"/>
        <v>50.000000000000121</v>
      </c>
    </row>
    <row r="24" spans="1:6" x14ac:dyDescent="0.35">
      <c r="A24" s="1">
        <v>2200</v>
      </c>
      <c r="B24" s="2">
        <v>2.2500000000000003E-3</v>
      </c>
      <c r="C24" s="2"/>
      <c r="D24" s="5">
        <f t="shared" si="2"/>
        <v>2.2000000000000002</v>
      </c>
      <c r="E24" s="4">
        <f t="shared" si="3"/>
        <v>194.40000000000003</v>
      </c>
      <c r="F24" s="3">
        <f t="shared" si="5"/>
        <v>49.99999999999973</v>
      </c>
    </row>
    <row r="25" spans="1:6" x14ac:dyDescent="0.35">
      <c r="A25" s="1">
        <v>2300</v>
      </c>
      <c r="B25" s="2">
        <v>2.3333333333333331E-3</v>
      </c>
      <c r="C25" s="2"/>
      <c r="D25" s="5">
        <f t="shared" si="2"/>
        <v>2.2999999999999998</v>
      </c>
      <c r="E25" s="4">
        <f t="shared" si="3"/>
        <v>201.59999999999997</v>
      </c>
      <c r="F25" s="3">
        <f t="shared" si="5"/>
        <v>50.000000000000298</v>
      </c>
    </row>
    <row r="26" spans="1:6" x14ac:dyDescent="0.35">
      <c r="A26" s="1">
        <v>2400</v>
      </c>
      <c r="B26" s="2">
        <v>2.4166666666666668E-3</v>
      </c>
      <c r="C26" s="2"/>
      <c r="D26" s="5">
        <f t="shared" si="2"/>
        <v>2.4</v>
      </c>
      <c r="E26" s="4">
        <f t="shared" si="3"/>
        <v>208.8</v>
      </c>
      <c r="F26" s="3">
        <f t="shared" si="5"/>
        <v>49.99999999999973</v>
      </c>
    </row>
    <row r="27" spans="1:6" x14ac:dyDescent="0.35">
      <c r="A27" s="1">
        <v>2500</v>
      </c>
      <c r="B27" s="2">
        <v>2.5000000000000001E-3</v>
      </c>
      <c r="C27" s="2"/>
      <c r="D27" s="5">
        <f t="shared" si="2"/>
        <v>2.5</v>
      </c>
      <c r="E27" s="4">
        <f t="shared" si="3"/>
        <v>216</v>
      </c>
      <c r="F27" s="3">
        <f t="shared" si="5"/>
        <v>50.000000000000121</v>
      </c>
    </row>
    <row r="28" spans="1:6" x14ac:dyDescent="0.35">
      <c r="A28" s="1">
        <v>2600</v>
      </c>
      <c r="B28" s="2">
        <v>2.5833333333333333E-3</v>
      </c>
      <c r="C28" s="2"/>
      <c r="D28" s="5">
        <f t="shared" si="2"/>
        <v>2.6</v>
      </c>
      <c r="E28" s="4">
        <f t="shared" si="3"/>
        <v>223.2</v>
      </c>
      <c r="F28" s="3">
        <f t="shared" si="5"/>
        <v>50.000000000000121</v>
      </c>
    </row>
    <row r="29" spans="1:6" x14ac:dyDescent="0.35">
      <c r="A29" s="1">
        <v>2700</v>
      </c>
      <c r="B29" s="2">
        <v>2.6874999999999998E-3</v>
      </c>
      <c r="C29" s="2"/>
      <c r="D29" s="5">
        <f t="shared" si="2"/>
        <v>2.7</v>
      </c>
      <c r="E29" s="4">
        <f t="shared" si="3"/>
        <v>232.20000000000002</v>
      </c>
      <c r="F29" s="3">
        <f t="shared" si="5"/>
        <v>39.999999999999908</v>
      </c>
    </row>
    <row r="30" spans="1:6" x14ac:dyDescent="0.35">
      <c r="A30" s="1">
        <v>2800</v>
      </c>
      <c r="B30" s="2">
        <v>2.7916666666666667E-3</v>
      </c>
      <c r="C30" s="2"/>
      <c r="D30" s="5">
        <f t="shared" si="2"/>
        <v>2.8</v>
      </c>
      <c r="E30" s="4">
        <f t="shared" si="3"/>
        <v>241.20000000000002</v>
      </c>
      <c r="F30" s="3">
        <f t="shared" si="5"/>
        <v>39.999999999999858</v>
      </c>
    </row>
    <row r="31" spans="1:6" x14ac:dyDescent="0.35">
      <c r="A31" s="1">
        <v>2900</v>
      </c>
      <c r="B31" s="2">
        <v>2.8958333333333332E-3</v>
      </c>
      <c r="C31" s="2"/>
      <c r="D31" s="5">
        <f t="shared" si="2"/>
        <v>2.9</v>
      </c>
      <c r="E31" s="4">
        <f t="shared" si="3"/>
        <v>250.19999999999996</v>
      </c>
      <c r="F31" s="3">
        <f t="shared" si="5"/>
        <v>40.000000000000291</v>
      </c>
    </row>
    <row r="32" spans="1:6" x14ac:dyDescent="0.35">
      <c r="A32" s="1">
        <v>3000</v>
      </c>
      <c r="B32" s="2">
        <v>3.0000000000000001E-3</v>
      </c>
      <c r="C32" s="2"/>
      <c r="D32" s="5">
        <f t="shared" si="2"/>
        <v>3</v>
      </c>
      <c r="E32" s="4">
        <f t="shared" si="3"/>
        <v>259.20000000000005</v>
      </c>
      <c r="F32" s="3">
        <f t="shared" si="5"/>
        <v>39.999999999999659</v>
      </c>
    </row>
    <row r="33" spans="1:6" x14ac:dyDescent="0.35">
      <c r="A33" s="1">
        <v>3100</v>
      </c>
      <c r="B33" s="2">
        <v>3.1041666666666665E-3</v>
      </c>
      <c r="C33" s="2"/>
      <c r="D33" s="5">
        <f t="shared" si="2"/>
        <v>3.1</v>
      </c>
      <c r="E33" s="4">
        <f t="shared" si="3"/>
        <v>268.2</v>
      </c>
      <c r="F33" s="3">
        <f t="shared" si="5"/>
        <v>40.000000000000291</v>
      </c>
    </row>
    <row r="34" spans="1:6" x14ac:dyDescent="0.35">
      <c r="A34" s="1">
        <v>3200</v>
      </c>
      <c r="B34" s="2">
        <v>3.2222222222222218E-3</v>
      </c>
      <c r="C34" s="2"/>
      <c r="D34" s="5">
        <f t="shared" si="2"/>
        <v>3.2</v>
      </c>
      <c r="E34" s="4">
        <f t="shared" si="3"/>
        <v>278.39999999999998</v>
      </c>
      <c r="F34" s="3">
        <f t="shared" si="5"/>
        <v>35.294117647058897</v>
      </c>
    </row>
    <row r="35" spans="1:6" x14ac:dyDescent="0.35">
      <c r="A35" s="1">
        <v>3300</v>
      </c>
      <c r="B35" s="2">
        <v>3.3402777777777779E-3</v>
      </c>
      <c r="C35" s="2"/>
      <c r="D35" s="5">
        <f t="shared" si="2"/>
        <v>3.3</v>
      </c>
      <c r="E35" s="4">
        <f t="shared" si="3"/>
        <v>288.59999999999997</v>
      </c>
      <c r="F35" s="3">
        <f t="shared" si="5"/>
        <v>35.294117647058741</v>
      </c>
    </row>
    <row r="36" spans="1:6" x14ac:dyDescent="0.35">
      <c r="A36" s="1">
        <v>3400</v>
      </c>
      <c r="B36" s="2">
        <v>3.4594907407407404E-3</v>
      </c>
      <c r="C36" s="2"/>
      <c r="D36" s="5">
        <f t="shared" si="2"/>
        <v>3.4</v>
      </c>
      <c r="E36" s="4">
        <f t="shared" si="3"/>
        <v>298.89999999999998</v>
      </c>
      <c r="F36" s="3">
        <f t="shared" si="5"/>
        <v>34.951456310679603</v>
      </c>
    </row>
    <row r="37" spans="1:6" x14ac:dyDescent="0.35">
      <c r="A37" s="1">
        <v>3500</v>
      </c>
      <c r="B37" s="2">
        <v>3.5787037037037037E-3</v>
      </c>
      <c r="C37" s="2"/>
      <c r="D37" s="5">
        <f t="shared" si="2"/>
        <v>3.5</v>
      </c>
      <c r="E37" s="4">
        <f t="shared" si="3"/>
        <v>309.2</v>
      </c>
      <c r="F37" s="3">
        <f t="shared" si="5"/>
        <v>34.951456310679603</v>
      </c>
    </row>
    <row r="38" spans="1:6" x14ac:dyDescent="0.35">
      <c r="A38" s="1">
        <v>3600</v>
      </c>
      <c r="B38" s="2">
        <v>3.6979166666666666E-3</v>
      </c>
      <c r="C38" s="2"/>
      <c r="D38" s="5">
        <f t="shared" si="2"/>
        <v>3.6</v>
      </c>
      <c r="E38" s="4">
        <f t="shared" si="3"/>
        <v>319.5</v>
      </c>
      <c r="F38" s="3">
        <f t="shared" si="5"/>
        <v>34.951456310679603</v>
      </c>
    </row>
    <row r="39" spans="1:6" x14ac:dyDescent="0.35">
      <c r="A39" s="1">
        <v>3700</v>
      </c>
      <c r="B39" s="2">
        <v>3.8368055555555555E-3</v>
      </c>
      <c r="C39" s="2"/>
      <c r="D39" s="5">
        <f t="shared" si="2"/>
        <v>3.7</v>
      </c>
      <c r="E39" s="4">
        <f t="shared" si="3"/>
        <v>331.5</v>
      </c>
      <c r="F39" s="3">
        <f t="shared" si="5"/>
        <v>30.000000000000025</v>
      </c>
    </row>
    <row r="40" spans="1:6" x14ac:dyDescent="0.35">
      <c r="A40" s="1">
        <v>3800</v>
      </c>
      <c r="B40" s="2">
        <v>3.975694444444444E-3</v>
      </c>
      <c r="C40" s="2"/>
      <c r="D40" s="5">
        <f t="shared" si="2"/>
        <v>3.8</v>
      </c>
      <c r="E40" s="4">
        <f t="shared" si="3"/>
        <v>343.49999999999994</v>
      </c>
      <c r="F40" s="3">
        <f t="shared" si="5"/>
        <v>30.000000000000036</v>
      </c>
    </row>
    <row r="41" spans="1:6" x14ac:dyDescent="0.35">
      <c r="A41" s="1">
        <v>3900</v>
      </c>
      <c r="B41" s="2">
        <v>4.1145833333333329E-3</v>
      </c>
      <c r="C41" s="2"/>
      <c r="D41" s="5">
        <f t="shared" si="2"/>
        <v>3.9</v>
      </c>
      <c r="E41" s="4">
        <f t="shared" si="3"/>
        <v>355.49999999999994</v>
      </c>
      <c r="F41" s="3">
        <f t="shared" si="5"/>
        <v>30.000000000000025</v>
      </c>
    </row>
    <row r="42" spans="1:6" x14ac:dyDescent="0.35">
      <c r="A42" s="1">
        <v>4000</v>
      </c>
      <c r="B42" s="2">
        <v>4.2534722222222219E-3</v>
      </c>
      <c r="C42" s="2"/>
      <c r="D42" s="5">
        <f t="shared" si="2"/>
        <v>4</v>
      </c>
      <c r="E42" s="4">
        <f t="shared" si="3"/>
        <v>367.5</v>
      </c>
      <c r="F42" s="3">
        <f t="shared" si="5"/>
        <v>29.999999999999883</v>
      </c>
    </row>
    <row r="43" spans="1:6" x14ac:dyDescent="0.35">
      <c r="A43" s="1">
        <v>4100</v>
      </c>
      <c r="B43" s="2">
        <v>4.3576388888888892E-3</v>
      </c>
      <c r="C43" s="2"/>
      <c r="D43" s="5">
        <f t="shared" si="2"/>
        <v>4.0999999999999996</v>
      </c>
      <c r="E43" s="4">
        <f t="shared" si="3"/>
        <v>376.5</v>
      </c>
      <c r="F43" s="3">
        <f t="shared" si="5"/>
        <v>39.999999999999858</v>
      </c>
    </row>
    <row r="44" spans="1:6" x14ac:dyDescent="0.35">
      <c r="A44" s="1">
        <v>4200</v>
      </c>
      <c r="B44" s="2">
        <v>4.4618055555555557E-3</v>
      </c>
      <c r="C44" s="2"/>
      <c r="D44" s="5">
        <f t="shared" si="2"/>
        <v>4.2</v>
      </c>
      <c r="E44" s="4">
        <f t="shared" si="3"/>
        <v>385.5</v>
      </c>
      <c r="F44" s="3">
        <f t="shared" si="5"/>
        <v>40.000000000000213</v>
      </c>
    </row>
    <row r="45" spans="1:6" x14ac:dyDescent="0.35">
      <c r="A45" s="1">
        <v>4300</v>
      </c>
      <c r="B45" s="2">
        <v>4.5659722222222221E-3</v>
      </c>
      <c r="C45" s="2"/>
      <c r="D45" s="5">
        <f t="shared" si="2"/>
        <v>4.3</v>
      </c>
      <c r="E45" s="4">
        <f t="shared" si="3"/>
        <v>394.5</v>
      </c>
      <c r="F45" s="3">
        <f t="shared" si="5"/>
        <v>39.999999999999858</v>
      </c>
    </row>
    <row r="46" spans="1:6" x14ac:dyDescent="0.35">
      <c r="A46" s="1">
        <v>4400</v>
      </c>
      <c r="B46" s="2">
        <v>4.6597222222222222E-3</v>
      </c>
      <c r="C46" s="2"/>
      <c r="D46" s="5">
        <f t="shared" si="2"/>
        <v>4.4000000000000004</v>
      </c>
      <c r="E46" s="4">
        <f t="shared" si="3"/>
        <v>402.6</v>
      </c>
      <c r="F46" s="3">
        <f t="shared" si="5"/>
        <v>44.444444444444557</v>
      </c>
    </row>
    <row r="47" spans="1:6" x14ac:dyDescent="0.35">
      <c r="A47" s="1">
        <v>4500</v>
      </c>
      <c r="B47" s="2">
        <v>4.7430555555555559E-3</v>
      </c>
      <c r="C47" s="2"/>
      <c r="D47" s="5">
        <f t="shared" si="2"/>
        <v>4.5</v>
      </c>
      <c r="E47" s="4">
        <f t="shared" si="3"/>
        <v>409.8</v>
      </c>
      <c r="F47" s="3">
        <f t="shared" si="5"/>
        <v>49.999999999999901</v>
      </c>
    </row>
    <row r="48" spans="1:6" x14ac:dyDescent="0.35">
      <c r="A48" s="1">
        <v>4600</v>
      </c>
      <c r="B48" s="2">
        <v>4.8263888888888887E-3</v>
      </c>
      <c r="C48" s="2"/>
      <c r="D48" s="5">
        <f t="shared" si="2"/>
        <v>4.5999999999999996</v>
      </c>
      <c r="E48" s="4">
        <f t="shared" si="3"/>
        <v>417</v>
      </c>
      <c r="F48" s="3">
        <f t="shared" si="5"/>
        <v>49.999999999999901</v>
      </c>
    </row>
    <row r="49" spans="1:6" x14ac:dyDescent="0.35">
      <c r="A49" s="1">
        <v>4700</v>
      </c>
      <c r="B49" s="2">
        <v>4.9097222222222224E-3</v>
      </c>
      <c r="C49" s="2"/>
      <c r="D49" s="5">
        <f t="shared" si="2"/>
        <v>4.7</v>
      </c>
      <c r="E49" s="4">
        <f t="shared" si="3"/>
        <v>424.20000000000005</v>
      </c>
      <c r="F49" s="3">
        <f t="shared" si="5"/>
        <v>49.99999999999995</v>
      </c>
    </row>
    <row r="50" spans="1:6" x14ac:dyDescent="0.35">
      <c r="A50" s="1">
        <v>4800</v>
      </c>
      <c r="B50" s="2">
        <v>4.9930555555555553E-3</v>
      </c>
      <c r="C50" s="2"/>
      <c r="D50" s="5">
        <f t="shared" si="2"/>
        <v>4.8</v>
      </c>
      <c r="E50" s="4">
        <f t="shared" si="3"/>
        <v>431.4</v>
      </c>
      <c r="F50" s="3">
        <f t="shared" si="5"/>
        <v>50.000000000000298</v>
      </c>
    </row>
    <row r="51" spans="1:6" x14ac:dyDescent="0.35">
      <c r="A51" s="1">
        <v>4900</v>
      </c>
      <c r="B51" s="2">
        <v>5.076388888888889E-3</v>
      </c>
      <c r="C51" s="2"/>
      <c r="D51" s="5">
        <f t="shared" si="2"/>
        <v>4.9000000000000004</v>
      </c>
      <c r="E51" s="4">
        <f t="shared" si="3"/>
        <v>438.6</v>
      </c>
      <c r="F51" s="3">
        <f t="shared" si="5"/>
        <v>49.99999999999995</v>
      </c>
    </row>
    <row r="52" spans="1:6" x14ac:dyDescent="0.35">
      <c r="A52" s="1">
        <v>5000</v>
      </c>
      <c r="B52" s="2">
        <v>5.1597222222222227E-3</v>
      </c>
      <c r="C52" s="2"/>
      <c r="D52" s="5">
        <f t="shared" si="2"/>
        <v>5</v>
      </c>
      <c r="E52" s="4">
        <f t="shared" si="3"/>
        <v>445.80000000000007</v>
      </c>
      <c r="F52" s="3">
        <f t="shared" si="5"/>
        <v>49.99999999999951</v>
      </c>
    </row>
    <row r="53" spans="1:6" x14ac:dyDescent="0.35">
      <c r="A53" s="1">
        <v>5100</v>
      </c>
      <c r="B53" s="2">
        <v>5.2430555555555555E-3</v>
      </c>
      <c r="C53" s="2"/>
      <c r="D53" s="5">
        <f t="shared" si="2"/>
        <v>5.0999999999999996</v>
      </c>
      <c r="E53" s="4">
        <f t="shared" si="3"/>
        <v>452.99999999999994</v>
      </c>
      <c r="F53" s="3">
        <f t="shared" si="5"/>
        <v>50.000000000000689</v>
      </c>
    </row>
    <row r="54" spans="1:6" x14ac:dyDescent="0.35">
      <c r="A54" s="1">
        <v>5200</v>
      </c>
      <c r="B54" s="2">
        <v>5.3263888888888892E-3</v>
      </c>
      <c r="C54" s="2"/>
      <c r="D54" s="5">
        <f t="shared" si="2"/>
        <v>5.2</v>
      </c>
      <c r="E54" s="4">
        <f t="shared" si="3"/>
        <v>460.2000000000001</v>
      </c>
      <c r="F54" s="3">
        <f t="shared" si="5"/>
        <v>49.999999999999162</v>
      </c>
    </row>
    <row r="55" spans="1:6" x14ac:dyDescent="0.35">
      <c r="A55" s="1">
        <v>5300</v>
      </c>
      <c r="B55" s="2">
        <v>5.409722222222222E-3</v>
      </c>
      <c r="C55" s="2"/>
      <c r="D55" s="5">
        <f t="shared" si="2"/>
        <v>5.3</v>
      </c>
      <c r="E55" s="4">
        <f t="shared" si="3"/>
        <v>467.4</v>
      </c>
      <c r="F55" s="3">
        <f t="shared" si="5"/>
        <v>50.000000000000689</v>
      </c>
    </row>
    <row r="56" spans="1:6" x14ac:dyDescent="0.35">
      <c r="A56" s="1">
        <v>5400</v>
      </c>
      <c r="B56" s="2">
        <v>5.4930555555555557E-3</v>
      </c>
      <c r="C56" s="2"/>
      <c r="D56" s="5">
        <f t="shared" si="2"/>
        <v>5.4</v>
      </c>
      <c r="E56" s="4">
        <f t="shared" si="3"/>
        <v>474.59999999999997</v>
      </c>
      <c r="F56" s="3">
        <f t="shared" si="5"/>
        <v>50.000000000000341</v>
      </c>
    </row>
    <row r="57" spans="1:6" x14ac:dyDescent="0.35">
      <c r="A57" s="1">
        <v>5500</v>
      </c>
      <c r="B57" s="2">
        <v>5.5763888888888894E-3</v>
      </c>
      <c r="C57" s="2"/>
      <c r="D57" s="5">
        <f t="shared" si="2"/>
        <v>5.5</v>
      </c>
      <c r="E57" s="4">
        <f t="shared" si="3"/>
        <v>481.80000000000007</v>
      </c>
      <c r="F57" s="3">
        <f t="shared" si="5"/>
        <v>49.999999999999119</v>
      </c>
    </row>
    <row r="58" spans="1:6" x14ac:dyDescent="0.35">
      <c r="A58" s="1">
        <v>5600</v>
      </c>
      <c r="B58" s="2">
        <v>5.6597222222222222E-3</v>
      </c>
      <c r="C58" s="2"/>
      <c r="D58" s="5">
        <f t="shared" si="2"/>
        <v>5.6</v>
      </c>
      <c r="E58" s="4">
        <f t="shared" si="3"/>
        <v>489</v>
      </c>
      <c r="F58" s="3">
        <f t="shared" si="5"/>
        <v>50.000000000000298</v>
      </c>
    </row>
    <row r="59" spans="1:6" x14ac:dyDescent="0.35">
      <c r="A59" s="1">
        <v>5700</v>
      </c>
      <c r="B59" s="2">
        <v>5.7430555555555551E-3</v>
      </c>
      <c r="C59" s="2"/>
      <c r="D59" s="5">
        <f t="shared" si="2"/>
        <v>5.7</v>
      </c>
      <c r="E59" s="4">
        <f t="shared" si="3"/>
        <v>496.19999999999993</v>
      </c>
      <c r="F59" s="3">
        <f t="shared" si="5"/>
        <v>50.000000000000739</v>
      </c>
    </row>
    <row r="60" spans="1:6" x14ac:dyDescent="0.35">
      <c r="A60" s="1">
        <v>5800</v>
      </c>
      <c r="B60" s="2">
        <v>5.8263888888888888E-3</v>
      </c>
      <c r="C60" s="2"/>
      <c r="D60" s="5">
        <f t="shared" si="2"/>
        <v>5.8</v>
      </c>
      <c r="E60" s="4">
        <f t="shared" si="3"/>
        <v>503.40000000000003</v>
      </c>
      <c r="F60" s="3">
        <f t="shared" si="5"/>
        <v>49.999999999999119</v>
      </c>
    </row>
    <row r="61" spans="1:6" x14ac:dyDescent="0.35">
      <c r="A61" s="1">
        <v>5900</v>
      </c>
      <c r="B61" s="2">
        <v>5.9097222222222225E-3</v>
      </c>
      <c r="C61" s="2"/>
      <c r="D61" s="5">
        <f t="shared" si="2"/>
        <v>5.9</v>
      </c>
      <c r="E61" s="4">
        <f t="shared" si="3"/>
        <v>510.6</v>
      </c>
      <c r="F61" s="3">
        <f t="shared" si="5"/>
        <v>50.000000000000341</v>
      </c>
    </row>
    <row r="62" spans="1:6" x14ac:dyDescent="0.35">
      <c r="A62" s="1">
        <v>6000</v>
      </c>
      <c r="B62" s="2">
        <v>5.9930555555555553E-3</v>
      </c>
      <c r="C62" s="2"/>
      <c r="D62" s="5">
        <f t="shared" si="2"/>
        <v>6</v>
      </c>
      <c r="E62" s="4">
        <f t="shared" si="3"/>
        <v>517.79999999999995</v>
      </c>
      <c r="F62" s="3">
        <f t="shared" si="5"/>
        <v>50.000000000000298</v>
      </c>
    </row>
    <row r="63" spans="1:6" x14ac:dyDescent="0.35">
      <c r="A63" s="1">
        <v>6100</v>
      </c>
      <c r="B63" s="2">
        <v>6.076388888888889E-3</v>
      </c>
      <c r="C63" s="2"/>
      <c r="D63" s="5">
        <f t="shared" si="2"/>
        <v>6.1</v>
      </c>
      <c r="E63" s="4">
        <f t="shared" si="3"/>
        <v>525</v>
      </c>
      <c r="F63" s="3">
        <f t="shared" si="5"/>
        <v>49.99999999999951</v>
      </c>
    </row>
    <row r="64" spans="1:6" x14ac:dyDescent="0.35">
      <c r="A64" s="1">
        <v>6200</v>
      </c>
      <c r="B64" s="2">
        <v>6.1597222222222227E-3</v>
      </c>
      <c r="C64" s="2"/>
      <c r="D64" s="5">
        <f t="shared" si="2"/>
        <v>6.2</v>
      </c>
      <c r="E64" s="4">
        <f t="shared" si="3"/>
        <v>532.20000000000005</v>
      </c>
      <c r="F64" s="3">
        <f t="shared" si="5"/>
        <v>49.99999999999995</v>
      </c>
    </row>
    <row r="65" spans="1:6" x14ac:dyDescent="0.35">
      <c r="A65" s="1">
        <v>6300</v>
      </c>
      <c r="B65" s="2">
        <v>6.2430555555555555E-3</v>
      </c>
      <c r="C65" s="2"/>
      <c r="D65" s="5">
        <f t="shared" si="2"/>
        <v>6.3</v>
      </c>
      <c r="E65" s="4">
        <f t="shared" si="3"/>
        <v>539.4</v>
      </c>
      <c r="F65" s="3">
        <f t="shared" si="5"/>
        <v>50.000000000000298</v>
      </c>
    </row>
    <row r="66" spans="1:6" x14ac:dyDescent="0.35">
      <c r="A66" s="1">
        <v>6400</v>
      </c>
      <c r="B66" s="2">
        <v>6.3263888888888892E-3</v>
      </c>
      <c r="C66" s="2"/>
      <c r="D66" s="5">
        <f t="shared" si="2"/>
        <v>6.4</v>
      </c>
      <c r="E66" s="4">
        <f t="shared" si="3"/>
        <v>546.6</v>
      </c>
      <c r="F66" s="3">
        <f t="shared" si="5"/>
        <v>49.99999999999995</v>
      </c>
    </row>
    <row r="67" spans="1:6" x14ac:dyDescent="0.35">
      <c r="A67" s="1">
        <v>6500</v>
      </c>
      <c r="B67" s="2">
        <v>6.409722222222222E-3</v>
      </c>
      <c r="C67" s="2"/>
      <c r="D67" s="5">
        <f t="shared" ref="D67:D77" si="7">A67/1000</f>
        <v>6.5</v>
      </c>
      <c r="E67" s="4">
        <f t="shared" ref="E67:E77" si="8">B67*24*3600</f>
        <v>553.79999999999995</v>
      </c>
      <c r="F67" s="3">
        <f t="shared" si="5"/>
        <v>50.000000000000298</v>
      </c>
    </row>
    <row r="68" spans="1:6" x14ac:dyDescent="0.35">
      <c r="A68" s="1">
        <v>6600</v>
      </c>
      <c r="B68" s="2">
        <v>6.4930555555555557E-3</v>
      </c>
      <c r="C68" s="2"/>
      <c r="D68" s="5">
        <f t="shared" si="7"/>
        <v>6.6</v>
      </c>
      <c r="E68" s="4">
        <f t="shared" si="8"/>
        <v>561</v>
      </c>
      <c r="F68" s="3">
        <f t="shared" ref="F68:F77" si="9">(D68-D67)/((E68-E67)/3600)</f>
        <v>49.99999999999951</v>
      </c>
    </row>
    <row r="69" spans="1:6" x14ac:dyDescent="0.35">
      <c r="A69" s="1">
        <v>6700</v>
      </c>
      <c r="B69" s="2">
        <v>6.5763888888888894E-3</v>
      </c>
      <c r="C69" s="2"/>
      <c r="D69" s="5">
        <f t="shared" si="7"/>
        <v>6.7</v>
      </c>
      <c r="E69" s="4">
        <f t="shared" si="8"/>
        <v>568.20000000000005</v>
      </c>
      <c r="F69" s="3">
        <f t="shared" si="9"/>
        <v>49.99999999999995</v>
      </c>
    </row>
    <row r="70" spans="1:6" x14ac:dyDescent="0.35">
      <c r="A70" s="1">
        <v>6800</v>
      </c>
      <c r="B70" s="2">
        <v>6.6597222222222223E-3</v>
      </c>
      <c r="C70" s="2"/>
      <c r="D70" s="5">
        <f t="shared" si="7"/>
        <v>6.8</v>
      </c>
      <c r="E70" s="4">
        <f t="shared" si="8"/>
        <v>575.4</v>
      </c>
      <c r="F70" s="3">
        <f t="shared" si="9"/>
        <v>50.000000000000298</v>
      </c>
    </row>
    <row r="71" spans="1:6" x14ac:dyDescent="0.35">
      <c r="A71" s="1">
        <v>6900</v>
      </c>
      <c r="B71" s="2">
        <v>6.743055555555556E-3</v>
      </c>
      <c r="C71" s="2"/>
      <c r="D71" s="5">
        <f t="shared" si="7"/>
        <v>6.9</v>
      </c>
      <c r="E71" s="4">
        <f t="shared" si="8"/>
        <v>582.6</v>
      </c>
      <c r="F71" s="3">
        <f t="shared" si="9"/>
        <v>49.99999999999995</v>
      </c>
    </row>
    <row r="72" spans="1:6" x14ac:dyDescent="0.35">
      <c r="A72" s="1">
        <v>7000</v>
      </c>
      <c r="B72" s="2">
        <v>6.8263888888888888E-3</v>
      </c>
      <c r="C72" s="2"/>
      <c r="D72" s="5">
        <f t="shared" si="7"/>
        <v>7</v>
      </c>
      <c r="E72" s="4">
        <f t="shared" si="8"/>
        <v>589.79999999999995</v>
      </c>
      <c r="F72" s="3">
        <f t="shared" si="9"/>
        <v>50.000000000000298</v>
      </c>
    </row>
    <row r="73" spans="1:6" x14ac:dyDescent="0.35">
      <c r="A73" s="1">
        <v>7100</v>
      </c>
      <c r="B73" s="2">
        <v>6.9097222222222225E-3</v>
      </c>
      <c r="C73" s="2"/>
      <c r="D73" s="5">
        <f t="shared" si="7"/>
        <v>7.1</v>
      </c>
      <c r="E73" s="4">
        <f t="shared" si="8"/>
        <v>597</v>
      </c>
      <c r="F73" s="3">
        <f t="shared" si="9"/>
        <v>49.99999999999951</v>
      </c>
    </row>
    <row r="74" spans="1:6" x14ac:dyDescent="0.35">
      <c r="A74" s="1">
        <v>7200</v>
      </c>
      <c r="B74" s="2">
        <v>6.9930555555555562E-3</v>
      </c>
      <c r="C74" s="2"/>
      <c r="D74" s="5">
        <f t="shared" si="7"/>
        <v>7.2</v>
      </c>
      <c r="E74" s="4">
        <f t="shared" si="8"/>
        <v>604.20000000000005</v>
      </c>
      <c r="F74" s="3">
        <f t="shared" si="9"/>
        <v>49.99999999999995</v>
      </c>
    </row>
    <row r="75" spans="1:6" x14ac:dyDescent="0.35">
      <c r="A75" s="1">
        <v>7300</v>
      </c>
      <c r="B75" s="2">
        <v>7.076388888888889E-3</v>
      </c>
      <c r="C75" s="2"/>
      <c r="D75" s="5">
        <f t="shared" si="7"/>
        <v>7.3</v>
      </c>
      <c r="E75" s="4">
        <f t="shared" si="8"/>
        <v>611.4</v>
      </c>
      <c r="F75" s="3">
        <f t="shared" si="9"/>
        <v>50.000000000000298</v>
      </c>
    </row>
    <row r="76" spans="1:6" x14ac:dyDescent="0.35">
      <c r="A76" s="1">
        <v>7400</v>
      </c>
      <c r="B76" s="2">
        <v>7.1597222222222227E-3</v>
      </c>
      <c r="C76" s="2"/>
      <c r="D76" s="5">
        <f t="shared" si="7"/>
        <v>7.4</v>
      </c>
      <c r="E76" s="4">
        <f t="shared" si="8"/>
        <v>618.6</v>
      </c>
      <c r="F76" s="3">
        <f t="shared" si="9"/>
        <v>49.99999999999995</v>
      </c>
    </row>
    <row r="77" spans="1:6" x14ac:dyDescent="0.35">
      <c r="A77" s="1">
        <v>7416</v>
      </c>
      <c r="B77" s="2">
        <v>7.1736111111111106E-3</v>
      </c>
      <c r="C77" s="2"/>
      <c r="D77" s="5">
        <f t="shared" si="7"/>
        <v>7.4160000000000004</v>
      </c>
      <c r="E77" s="4">
        <f t="shared" si="8"/>
        <v>619.79999999999995</v>
      </c>
      <c r="F77" s="3">
        <f t="shared" si="9"/>
        <v>48.000000000002771</v>
      </c>
    </row>
  </sheetData>
  <conditionalFormatting sqref="F2:F77">
    <cfRule type="colorScale" priority="2">
      <colorScale>
        <cfvo type="num" val="20"/>
        <cfvo type="num" val="35"/>
        <cfvo type="num" val="50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913A-FD10-4466-AE18-98F8910FDC4A}">
  <dimension ref="A1:N7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2" sqref="C52"/>
    </sheetView>
  </sheetViews>
  <sheetFormatPr defaultRowHeight="14.5" x14ac:dyDescent="0.35"/>
  <cols>
    <col min="1" max="1" width="12.6328125" bestFit="1" customWidth="1"/>
    <col min="2" max="2" width="15.90625" bestFit="1" customWidth="1"/>
    <col min="3" max="3" width="15.90625" customWidth="1"/>
    <col min="6" max="6" width="9.36328125" bestFit="1" customWidth="1"/>
    <col min="10" max="10" width="8.90625" bestFit="1" customWidth="1"/>
  </cols>
  <sheetData>
    <row r="1" spans="1:14" s="6" customFormat="1" ht="31.5" customHeight="1" x14ac:dyDescent="0.35">
      <c r="A1" s="6" t="s">
        <v>0</v>
      </c>
      <c r="B1" s="6" t="s">
        <v>1</v>
      </c>
      <c r="C1" s="6" t="s">
        <v>5</v>
      </c>
      <c r="D1" s="6" t="s">
        <v>2</v>
      </c>
      <c r="E1" s="6" t="s">
        <v>3</v>
      </c>
      <c r="F1" s="6" t="s">
        <v>4</v>
      </c>
      <c r="H1" s="7" t="s">
        <v>8</v>
      </c>
      <c r="I1" s="7" t="s">
        <v>6</v>
      </c>
      <c r="J1" s="7" t="s">
        <v>4</v>
      </c>
      <c r="K1" s="7" t="s">
        <v>7</v>
      </c>
      <c r="M1" s="6" t="str">
        <f t="shared" ref="M1:M12" si="0">I1</f>
        <v>Distancia hasta</v>
      </c>
      <c r="N1" s="6" t="s">
        <v>9</v>
      </c>
    </row>
    <row r="2" spans="1:14" x14ac:dyDescent="0.35">
      <c r="A2">
        <v>0</v>
      </c>
      <c r="B2" s="2">
        <v>0</v>
      </c>
      <c r="C2" s="2">
        <v>0</v>
      </c>
      <c r="D2" s="5">
        <f>A2/1000</f>
        <v>0</v>
      </c>
      <c r="E2" s="4">
        <f>B2*24*3600</f>
        <v>0</v>
      </c>
      <c r="F2" s="3">
        <f>F3</f>
        <v>25</v>
      </c>
      <c r="H2" s="8">
        <v>0</v>
      </c>
      <c r="I2" s="9">
        <v>0.3</v>
      </c>
      <c r="J2" s="10">
        <v>24.999999999999989</v>
      </c>
      <c r="K2" s="11">
        <f t="shared" ref="K2:K11" si="1">(I2-H2)/J2*3600</f>
        <v>43.200000000000017</v>
      </c>
      <c r="M2" s="5">
        <f t="shared" si="0"/>
        <v>0.3</v>
      </c>
      <c r="N2" s="2">
        <f>K2/24/3600</f>
        <v>5.0000000000000023E-4</v>
      </c>
    </row>
    <row r="3" spans="1:14" x14ac:dyDescent="0.35">
      <c r="A3">
        <v>100</v>
      </c>
      <c r="B3" s="2">
        <v>1.6666666666666666E-4</v>
      </c>
      <c r="C3" s="2">
        <f>(B3-B2)</f>
        <v>1.6666666666666666E-4</v>
      </c>
      <c r="D3" s="5">
        <f t="shared" ref="D3:D66" si="2">A3/1000</f>
        <v>0.1</v>
      </c>
      <c r="E3" s="4">
        <f t="shared" ref="E3:E66" si="3">B3*24*3600</f>
        <v>14.4</v>
      </c>
      <c r="F3" s="3">
        <f>(D3-D2)/((E3-E2)/3600)</f>
        <v>25</v>
      </c>
      <c r="H3" s="9">
        <f>I2</f>
        <v>0.3</v>
      </c>
      <c r="I3" s="9">
        <v>0.6</v>
      </c>
      <c r="J3" s="10">
        <v>30.000000000000032</v>
      </c>
      <c r="K3" s="11">
        <f t="shared" si="1"/>
        <v>35.999999999999964</v>
      </c>
      <c r="M3" s="5">
        <f t="shared" si="0"/>
        <v>0.6</v>
      </c>
      <c r="N3" s="2">
        <f t="shared" ref="N3:N12" si="4">N2+K3/24/3600</f>
        <v>9.1666666666666654E-4</v>
      </c>
    </row>
    <row r="4" spans="1:14" x14ac:dyDescent="0.35">
      <c r="A4">
        <v>200</v>
      </c>
      <c r="B4" s="2">
        <v>3.3333333333333332E-4</v>
      </c>
      <c r="C4" s="2"/>
      <c r="D4" s="5">
        <f t="shared" si="2"/>
        <v>0.2</v>
      </c>
      <c r="E4" s="4">
        <f t="shared" si="3"/>
        <v>28.8</v>
      </c>
      <c r="F4" s="3">
        <f t="shared" ref="F4:F67" si="5">(D4-D3)/((E4-E3)/3600)</f>
        <v>25</v>
      </c>
      <c r="H4" s="9">
        <f t="shared" ref="H4:H12" si="6">I3</f>
        <v>0.6</v>
      </c>
      <c r="I4" s="9">
        <v>2.6</v>
      </c>
      <c r="J4" s="10">
        <v>50.000000000000121</v>
      </c>
      <c r="K4" s="11">
        <f t="shared" si="1"/>
        <v>143.99999999999966</v>
      </c>
      <c r="M4" s="5">
        <f t="shared" si="0"/>
        <v>2.6</v>
      </c>
      <c r="N4" s="2">
        <f t="shared" si="4"/>
        <v>2.583333333333329E-3</v>
      </c>
    </row>
    <row r="5" spans="1:14" x14ac:dyDescent="0.35">
      <c r="A5">
        <v>300</v>
      </c>
      <c r="B5" s="2">
        <v>5.0000000000000001E-4</v>
      </c>
      <c r="C5" s="2"/>
      <c r="D5" s="5">
        <f t="shared" si="2"/>
        <v>0.3</v>
      </c>
      <c r="E5" s="4">
        <f t="shared" si="3"/>
        <v>43.2</v>
      </c>
      <c r="F5" s="3">
        <f t="shared" si="5"/>
        <v>24.999999999999989</v>
      </c>
      <c r="H5" s="9">
        <f t="shared" si="6"/>
        <v>2.6</v>
      </c>
      <c r="I5" s="9">
        <v>3.1</v>
      </c>
      <c r="J5" s="10">
        <v>40</v>
      </c>
      <c r="K5" s="11">
        <f t="shared" si="1"/>
        <v>45</v>
      </c>
      <c r="M5" s="5">
        <f t="shared" si="0"/>
        <v>3.1</v>
      </c>
      <c r="N5" s="2">
        <f t="shared" si="4"/>
        <v>3.1041666666666622E-3</v>
      </c>
    </row>
    <row r="6" spans="1:14" x14ac:dyDescent="0.35">
      <c r="A6">
        <v>400</v>
      </c>
      <c r="B6" s="2">
        <v>6.3888888888888893E-4</v>
      </c>
      <c r="C6" s="2"/>
      <c r="D6" s="5">
        <f t="shared" si="2"/>
        <v>0.4</v>
      </c>
      <c r="E6" s="4">
        <f t="shared" si="3"/>
        <v>55.2</v>
      </c>
      <c r="F6" s="3">
        <f t="shared" si="5"/>
        <v>30.000000000000007</v>
      </c>
      <c r="H6" s="9">
        <f t="shared" si="6"/>
        <v>3.1</v>
      </c>
      <c r="I6" s="9">
        <v>3.3</v>
      </c>
      <c r="J6" s="10">
        <v>35.29</v>
      </c>
      <c r="K6" s="11">
        <f t="shared" si="1"/>
        <v>20.402380277699038</v>
      </c>
      <c r="M6" s="5">
        <f t="shared" si="0"/>
        <v>3.3</v>
      </c>
      <c r="N6" s="2">
        <f t="shared" si="4"/>
        <v>3.3403053272881788E-3</v>
      </c>
    </row>
    <row r="7" spans="1:14" x14ac:dyDescent="0.35">
      <c r="A7">
        <v>500</v>
      </c>
      <c r="B7" s="2">
        <v>7.7777777777777784E-4</v>
      </c>
      <c r="C7" s="2"/>
      <c r="D7" s="5">
        <f t="shared" si="2"/>
        <v>0.5</v>
      </c>
      <c r="E7" s="4">
        <f t="shared" si="3"/>
        <v>67.2</v>
      </c>
      <c r="F7" s="3">
        <f t="shared" si="5"/>
        <v>29.999999999999993</v>
      </c>
      <c r="H7" s="9">
        <f t="shared" si="6"/>
        <v>3.3</v>
      </c>
      <c r="I7" s="9">
        <v>3.6</v>
      </c>
      <c r="J7" s="10">
        <v>34.951456310679603</v>
      </c>
      <c r="K7" s="11">
        <f t="shared" si="1"/>
        <v>30.900000000000038</v>
      </c>
      <c r="M7" s="5">
        <f t="shared" si="0"/>
        <v>3.6</v>
      </c>
      <c r="N7" s="2">
        <f t="shared" si="4"/>
        <v>3.6979442161770683E-3</v>
      </c>
    </row>
    <row r="8" spans="1:14" x14ac:dyDescent="0.35">
      <c r="A8">
        <v>600</v>
      </c>
      <c r="B8" s="2">
        <v>9.1666666666666665E-4</v>
      </c>
      <c r="C8" s="2"/>
      <c r="D8" s="5">
        <f t="shared" si="2"/>
        <v>0.6</v>
      </c>
      <c r="E8" s="4">
        <f t="shared" si="3"/>
        <v>79.199999999999989</v>
      </c>
      <c r="F8" s="3">
        <f t="shared" si="5"/>
        <v>30.000000000000032</v>
      </c>
      <c r="H8" s="9">
        <f t="shared" si="6"/>
        <v>3.6</v>
      </c>
      <c r="I8" s="9">
        <v>4</v>
      </c>
      <c r="J8" s="10">
        <v>29.999999999999883</v>
      </c>
      <c r="K8" s="11">
        <f t="shared" si="1"/>
        <v>48.000000000000178</v>
      </c>
      <c r="M8" s="5">
        <f t="shared" si="0"/>
        <v>4</v>
      </c>
      <c r="N8" s="2">
        <f t="shared" si="4"/>
        <v>4.2534997717326257E-3</v>
      </c>
    </row>
    <row r="9" spans="1:14" x14ac:dyDescent="0.35">
      <c r="A9">
        <v>700</v>
      </c>
      <c r="B9" s="2">
        <v>1E-3</v>
      </c>
      <c r="C9" s="2"/>
      <c r="D9" s="5">
        <f t="shared" si="2"/>
        <v>0.7</v>
      </c>
      <c r="E9" s="4">
        <f t="shared" si="3"/>
        <v>86.4</v>
      </c>
      <c r="F9" s="3">
        <f t="shared" si="5"/>
        <v>49.999999999999872</v>
      </c>
      <c r="H9" s="9">
        <f t="shared" si="6"/>
        <v>4</v>
      </c>
      <c r="I9" s="9">
        <v>4.3</v>
      </c>
      <c r="J9" s="10">
        <v>39.999999999999858</v>
      </c>
      <c r="K9" s="11">
        <f t="shared" si="1"/>
        <v>27.000000000000082</v>
      </c>
      <c r="M9" s="5">
        <f t="shared" si="0"/>
        <v>4.3</v>
      </c>
      <c r="N9" s="2">
        <f t="shared" si="4"/>
        <v>4.5659997717326269E-3</v>
      </c>
    </row>
    <row r="10" spans="1:14" x14ac:dyDescent="0.35">
      <c r="A10">
        <v>800</v>
      </c>
      <c r="B10" s="2">
        <v>1.0833333333333333E-3</v>
      </c>
      <c r="C10" s="2"/>
      <c r="D10" s="5">
        <f t="shared" si="2"/>
        <v>0.8</v>
      </c>
      <c r="E10" s="4">
        <f t="shared" si="3"/>
        <v>93.6</v>
      </c>
      <c r="F10" s="3">
        <f t="shared" si="5"/>
        <v>50.000000000000121</v>
      </c>
      <c r="H10" s="9">
        <f t="shared" si="6"/>
        <v>4.3</v>
      </c>
      <c r="I10" s="9">
        <v>4.4000000000000004</v>
      </c>
      <c r="J10" s="10">
        <v>44.444444444444557</v>
      </c>
      <c r="K10" s="11">
        <f t="shared" si="1"/>
        <v>8.1000000000000227</v>
      </c>
      <c r="M10" s="5">
        <f t="shared" si="0"/>
        <v>4.4000000000000004</v>
      </c>
      <c r="N10" s="2">
        <f t="shared" si="4"/>
        <v>4.6597497717326269E-3</v>
      </c>
    </row>
    <row r="11" spans="1:14" x14ac:dyDescent="0.35">
      <c r="A11">
        <v>900</v>
      </c>
      <c r="B11" s="2">
        <v>1.1666666666666665E-3</v>
      </c>
      <c r="C11" s="2"/>
      <c r="D11" s="5">
        <f t="shared" si="2"/>
        <v>0.9</v>
      </c>
      <c r="E11" s="4">
        <f t="shared" si="3"/>
        <v>100.79999999999998</v>
      </c>
      <c r="F11" s="3">
        <f t="shared" si="5"/>
        <v>50.000000000000064</v>
      </c>
      <c r="H11" s="9">
        <f t="shared" si="6"/>
        <v>4.4000000000000004</v>
      </c>
      <c r="I11" s="9">
        <v>7.4</v>
      </c>
      <c r="J11" s="10">
        <v>49.99999999999995</v>
      </c>
      <c r="K11" s="11">
        <f t="shared" si="1"/>
        <v>216.00000000000023</v>
      </c>
      <c r="M11" s="5">
        <f t="shared" si="0"/>
        <v>7.4</v>
      </c>
      <c r="N11" s="2">
        <f t="shared" si="4"/>
        <v>7.1597497717326292E-3</v>
      </c>
    </row>
    <row r="12" spans="1:14" x14ac:dyDescent="0.35">
      <c r="A12" s="1">
        <v>1000</v>
      </c>
      <c r="B12" s="2">
        <v>1.25E-3</v>
      </c>
      <c r="C12" s="2"/>
      <c r="D12" s="5">
        <f t="shared" si="2"/>
        <v>1</v>
      </c>
      <c r="E12" s="4">
        <f t="shared" si="3"/>
        <v>108</v>
      </c>
      <c r="F12" s="3">
        <f t="shared" si="5"/>
        <v>49.999999999999872</v>
      </c>
      <c r="H12" s="9">
        <f t="shared" si="6"/>
        <v>7.4</v>
      </c>
      <c r="I12" s="9">
        <v>7.4160000000000004</v>
      </c>
      <c r="J12" s="10">
        <v>48.000000000002771</v>
      </c>
      <c r="K12" s="11">
        <f>(I12-H12)/J12*3600</f>
        <v>1.1999999999999318</v>
      </c>
      <c r="M12" s="5">
        <f t="shared" si="0"/>
        <v>7.4160000000000004</v>
      </c>
      <c r="N12" s="2">
        <f t="shared" si="4"/>
        <v>7.1736386606215171E-3</v>
      </c>
    </row>
    <row r="13" spans="1:14" x14ac:dyDescent="0.35">
      <c r="A13" s="1">
        <v>1100</v>
      </c>
      <c r="B13" s="2">
        <v>1.3333333333333333E-3</v>
      </c>
      <c r="C13" s="2"/>
      <c r="D13" s="5">
        <f t="shared" si="2"/>
        <v>1.1000000000000001</v>
      </c>
      <c r="E13" s="4">
        <f t="shared" si="3"/>
        <v>115.2</v>
      </c>
      <c r="F13" s="3">
        <f t="shared" si="5"/>
        <v>50.000000000000021</v>
      </c>
      <c r="K13" s="2"/>
    </row>
    <row r="14" spans="1:14" x14ac:dyDescent="0.35">
      <c r="A14" s="1">
        <v>1200</v>
      </c>
      <c r="B14" s="2">
        <v>1.4166666666666668E-3</v>
      </c>
      <c r="C14" s="2"/>
      <c r="D14" s="5">
        <f t="shared" si="2"/>
        <v>1.2</v>
      </c>
      <c r="E14" s="4">
        <f t="shared" si="3"/>
        <v>122.4</v>
      </c>
      <c r="F14" s="3">
        <f t="shared" si="5"/>
        <v>49.999999999999908</v>
      </c>
    </row>
    <row r="15" spans="1:14" x14ac:dyDescent="0.35">
      <c r="A15" s="1">
        <v>1300</v>
      </c>
      <c r="B15" s="2">
        <v>1.5E-3</v>
      </c>
      <c r="C15" s="2"/>
      <c r="D15" s="5">
        <f t="shared" si="2"/>
        <v>1.3</v>
      </c>
      <c r="E15" s="4">
        <f t="shared" si="3"/>
        <v>129.60000000000002</v>
      </c>
      <c r="F15" s="3">
        <f t="shared" si="5"/>
        <v>49.999999999999922</v>
      </c>
    </row>
    <row r="16" spans="1:14" x14ac:dyDescent="0.35">
      <c r="A16" s="1">
        <v>1400</v>
      </c>
      <c r="B16" s="2">
        <v>1.5833333333333335E-3</v>
      </c>
      <c r="C16" s="2"/>
      <c r="D16" s="5">
        <f t="shared" si="2"/>
        <v>1.4</v>
      </c>
      <c r="E16" s="4">
        <f t="shared" si="3"/>
        <v>136.80000000000001</v>
      </c>
      <c r="F16" s="3">
        <f t="shared" si="5"/>
        <v>50.000000000000007</v>
      </c>
    </row>
    <row r="17" spans="1:6" x14ac:dyDescent="0.35">
      <c r="A17" s="1">
        <v>1500</v>
      </c>
      <c r="B17" s="2">
        <v>1.6666666666666668E-3</v>
      </c>
      <c r="C17" s="2"/>
      <c r="D17" s="5">
        <f t="shared" si="2"/>
        <v>1.5</v>
      </c>
      <c r="E17" s="4">
        <f t="shared" si="3"/>
        <v>144</v>
      </c>
      <c r="F17" s="3">
        <f t="shared" si="5"/>
        <v>50.000000000000121</v>
      </c>
    </row>
    <row r="18" spans="1:6" x14ac:dyDescent="0.35">
      <c r="A18" s="1">
        <v>1600</v>
      </c>
      <c r="B18" s="2">
        <v>1.7499999999999998E-3</v>
      </c>
      <c r="C18" s="2"/>
      <c r="D18" s="5">
        <f t="shared" si="2"/>
        <v>1.6</v>
      </c>
      <c r="E18" s="4">
        <f t="shared" si="3"/>
        <v>151.19999999999999</v>
      </c>
      <c r="F18" s="3">
        <f t="shared" si="5"/>
        <v>50.000000000000121</v>
      </c>
    </row>
    <row r="19" spans="1:6" x14ac:dyDescent="0.35">
      <c r="A19" s="1">
        <v>1700</v>
      </c>
      <c r="B19" s="2">
        <v>1.8333333333333333E-3</v>
      </c>
      <c r="C19" s="2"/>
      <c r="D19" s="5">
        <f t="shared" si="2"/>
        <v>1.7</v>
      </c>
      <c r="E19" s="4">
        <f t="shared" si="3"/>
        <v>158.39999999999998</v>
      </c>
      <c r="F19" s="3">
        <f t="shared" si="5"/>
        <v>50.000000000000007</v>
      </c>
    </row>
    <row r="20" spans="1:6" x14ac:dyDescent="0.35">
      <c r="A20" s="1">
        <v>1800</v>
      </c>
      <c r="B20" s="2">
        <v>1.9166666666666666E-3</v>
      </c>
      <c r="C20" s="2"/>
      <c r="D20" s="5">
        <f t="shared" si="2"/>
        <v>1.8</v>
      </c>
      <c r="E20" s="4">
        <f t="shared" si="3"/>
        <v>165.6</v>
      </c>
      <c r="F20" s="3">
        <f t="shared" si="5"/>
        <v>49.999999999999922</v>
      </c>
    </row>
    <row r="21" spans="1:6" x14ac:dyDescent="0.35">
      <c r="A21" s="1">
        <v>1900</v>
      </c>
      <c r="B21" s="2">
        <v>2E-3</v>
      </c>
      <c r="C21" s="2"/>
      <c r="D21" s="5">
        <f t="shared" si="2"/>
        <v>1.9</v>
      </c>
      <c r="E21" s="4">
        <f t="shared" si="3"/>
        <v>172.8</v>
      </c>
      <c r="F21" s="3">
        <f t="shared" si="5"/>
        <v>49.999999999999815</v>
      </c>
    </row>
    <row r="22" spans="1:6" x14ac:dyDescent="0.35">
      <c r="A22" s="1">
        <v>2000</v>
      </c>
      <c r="B22" s="2">
        <v>2.0833333333333333E-3</v>
      </c>
      <c r="C22" s="2"/>
      <c r="D22" s="5">
        <f t="shared" si="2"/>
        <v>2</v>
      </c>
      <c r="E22" s="4">
        <f t="shared" si="3"/>
        <v>180</v>
      </c>
      <c r="F22" s="3">
        <f t="shared" si="5"/>
        <v>50.000000000000121</v>
      </c>
    </row>
    <row r="23" spans="1:6" x14ac:dyDescent="0.35">
      <c r="A23" s="1">
        <v>2100</v>
      </c>
      <c r="B23" s="2">
        <v>2.1666666666666666E-3</v>
      </c>
      <c r="C23" s="2"/>
      <c r="D23" s="5">
        <f t="shared" si="2"/>
        <v>2.1</v>
      </c>
      <c r="E23" s="4">
        <f t="shared" si="3"/>
        <v>187.2</v>
      </c>
      <c r="F23" s="3">
        <f t="shared" si="5"/>
        <v>50.000000000000121</v>
      </c>
    </row>
    <row r="24" spans="1:6" x14ac:dyDescent="0.35">
      <c r="A24" s="1">
        <v>2200</v>
      </c>
      <c r="B24" s="2">
        <v>2.2500000000000003E-3</v>
      </c>
      <c r="C24" s="2"/>
      <c r="D24" s="5">
        <f t="shared" si="2"/>
        <v>2.2000000000000002</v>
      </c>
      <c r="E24" s="4">
        <f t="shared" si="3"/>
        <v>194.40000000000003</v>
      </c>
      <c r="F24" s="3">
        <f t="shared" si="5"/>
        <v>49.99999999999973</v>
      </c>
    </row>
    <row r="25" spans="1:6" x14ac:dyDescent="0.35">
      <c r="A25" s="1">
        <v>2300</v>
      </c>
      <c r="B25" s="2">
        <v>2.3333333333333331E-3</v>
      </c>
      <c r="C25" s="2"/>
      <c r="D25" s="5">
        <f t="shared" si="2"/>
        <v>2.2999999999999998</v>
      </c>
      <c r="E25" s="4">
        <f t="shared" si="3"/>
        <v>201.59999999999997</v>
      </c>
      <c r="F25" s="3">
        <f t="shared" si="5"/>
        <v>50.000000000000298</v>
      </c>
    </row>
    <row r="26" spans="1:6" x14ac:dyDescent="0.35">
      <c r="A26" s="1">
        <v>2400</v>
      </c>
      <c r="B26" s="2">
        <v>2.4166666666666668E-3</v>
      </c>
      <c r="C26" s="2"/>
      <c r="D26" s="5">
        <f t="shared" si="2"/>
        <v>2.4</v>
      </c>
      <c r="E26" s="4">
        <f t="shared" si="3"/>
        <v>208.8</v>
      </c>
      <c r="F26" s="3">
        <f t="shared" si="5"/>
        <v>49.99999999999973</v>
      </c>
    </row>
    <row r="27" spans="1:6" x14ac:dyDescent="0.35">
      <c r="A27" s="1">
        <v>2500</v>
      </c>
      <c r="B27" s="2">
        <v>2.5000000000000001E-3</v>
      </c>
      <c r="C27" s="2"/>
      <c r="D27" s="5">
        <f t="shared" si="2"/>
        <v>2.5</v>
      </c>
      <c r="E27" s="4">
        <f t="shared" si="3"/>
        <v>216</v>
      </c>
      <c r="F27" s="3">
        <f t="shared" si="5"/>
        <v>50.000000000000121</v>
      </c>
    </row>
    <row r="28" spans="1:6" x14ac:dyDescent="0.35">
      <c r="A28" s="1">
        <v>2600</v>
      </c>
      <c r="B28" s="2">
        <v>2.5833333333333333E-3</v>
      </c>
      <c r="C28" s="2"/>
      <c r="D28" s="5">
        <f t="shared" si="2"/>
        <v>2.6</v>
      </c>
      <c r="E28" s="4">
        <f t="shared" si="3"/>
        <v>223.2</v>
      </c>
      <c r="F28" s="3">
        <f t="shared" si="5"/>
        <v>50.000000000000121</v>
      </c>
    </row>
    <row r="29" spans="1:6" x14ac:dyDescent="0.35">
      <c r="A29" s="1">
        <v>2700</v>
      </c>
      <c r="B29" s="2">
        <v>2.6874999999999998E-3</v>
      </c>
      <c r="C29" s="2"/>
      <c r="D29" s="5">
        <f t="shared" si="2"/>
        <v>2.7</v>
      </c>
      <c r="E29" s="4">
        <f t="shared" si="3"/>
        <v>232.20000000000002</v>
      </c>
      <c r="F29" s="3">
        <f t="shared" si="5"/>
        <v>39.999999999999908</v>
      </c>
    </row>
    <row r="30" spans="1:6" x14ac:dyDescent="0.35">
      <c r="A30" s="1">
        <v>2800</v>
      </c>
      <c r="B30" s="2">
        <v>2.7916666666666667E-3</v>
      </c>
      <c r="C30" s="2"/>
      <c r="D30" s="5">
        <f t="shared" si="2"/>
        <v>2.8</v>
      </c>
      <c r="E30" s="4">
        <f t="shared" si="3"/>
        <v>241.20000000000002</v>
      </c>
      <c r="F30" s="3">
        <f t="shared" si="5"/>
        <v>39.999999999999858</v>
      </c>
    </row>
    <row r="31" spans="1:6" x14ac:dyDescent="0.35">
      <c r="A31" s="1">
        <v>2900</v>
      </c>
      <c r="B31" s="2">
        <v>2.8958333333333332E-3</v>
      </c>
      <c r="C31" s="2"/>
      <c r="D31" s="5">
        <f t="shared" si="2"/>
        <v>2.9</v>
      </c>
      <c r="E31" s="4">
        <f t="shared" si="3"/>
        <v>250.19999999999996</v>
      </c>
      <c r="F31" s="3">
        <f t="shared" si="5"/>
        <v>40.000000000000291</v>
      </c>
    </row>
    <row r="32" spans="1:6" x14ac:dyDescent="0.35">
      <c r="A32" s="1">
        <v>3000</v>
      </c>
      <c r="B32" s="2">
        <v>3.0000000000000001E-3</v>
      </c>
      <c r="C32" s="2"/>
      <c r="D32" s="5">
        <f t="shared" si="2"/>
        <v>3</v>
      </c>
      <c r="E32" s="4">
        <f t="shared" si="3"/>
        <v>259.20000000000005</v>
      </c>
      <c r="F32" s="3">
        <f t="shared" si="5"/>
        <v>39.999999999999659</v>
      </c>
    </row>
    <row r="33" spans="1:6" x14ac:dyDescent="0.35">
      <c r="A33" s="1">
        <v>3100</v>
      </c>
      <c r="B33" s="2">
        <v>3.1041666666666665E-3</v>
      </c>
      <c r="C33" s="2"/>
      <c r="D33" s="5">
        <f t="shared" si="2"/>
        <v>3.1</v>
      </c>
      <c r="E33" s="4">
        <f t="shared" si="3"/>
        <v>268.2</v>
      </c>
      <c r="F33" s="3">
        <f t="shared" si="5"/>
        <v>40.000000000000291</v>
      </c>
    </row>
    <row r="34" spans="1:6" x14ac:dyDescent="0.35">
      <c r="A34" s="1">
        <v>3200</v>
      </c>
      <c r="B34" s="2">
        <v>3.2222222222222218E-3</v>
      </c>
      <c r="C34" s="2"/>
      <c r="D34" s="5">
        <f t="shared" si="2"/>
        <v>3.2</v>
      </c>
      <c r="E34" s="4">
        <f t="shared" si="3"/>
        <v>278.39999999999998</v>
      </c>
      <c r="F34" s="3">
        <f t="shared" si="5"/>
        <v>35.294117647058897</v>
      </c>
    </row>
    <row r="35" spans="1:6" x14ac:dyDescent="0.35">
      <c r="A35" s="1">
        <v>3300</v>
      </c>
      <c r="B35" s="2">
        <v>3.3402777777777779E-3</v>
      </c>
      <c r="C35" s="2"/>
      <c r="D35" s="5">
        <f t="shared" si="2"/>
        <v>3.3</v>
      </c>
      <c r="E35" s="4">
        <f t="shared" si="3"/>
        <v>288.59999999999997</v>
      </c>
      <c r="F35" s="3">
        <f t="shared" si="5"/>
        <v>35.294117647058741</v>
      </c>
    </row>
    <row r="36" spans="1:6" x14ac:dyDescent="0.35">
      <c r="A36" s="1">
        <v>3400</v>
      </c>
      <c r="B36" s="2">
        <v>3.4594907407407404E-3</v>
      </c>
      <c r="C36" s="2"/>
      <c r="D36" s="5">
        <f t="shared" si="2"/>
        <v>3.4</v>
      </c>
      <c r="E36" s="4">
        <f t="shared" si="3"/>
        <v>298.89999999999998</v>
      </c>
      <c r="F36" s="3">
        <f t="shared" si="5"/>
        <v>34.951456310679603</v>
      </c>
    </row>
    <row r="37" spans="1:6" x14ac:dyDescent="0.35">
      <c r="A37" s="1">
        <v>3500</v>
      </c>
      <c r="B37" s="2">
        <v>3.5787037037037037E-3</v>
      </c>
      <c r="C37" s="2"/>
      <c r="D37" s="5">
        <f t="shared" si="2"/>
        <v>3.5</v>
      </c>
      <c r="E37" s="4">
        <f t="shared" si="3"/>
        <v>309.2</v>
      </c>
      <c r="F37" s="3">
        <f t="shared" si="5"/>
        <v>34.951456310679603</v>
      </c>
    </row>
    <row r="38" spans="1:6" x14ac:dyDescent="0.35">
      <c r="A38" s="1">
        <v>3600</v>
      </c>
      <c r="B38" s="2">
        <v>3.6979166666666666E-3</v>
      </c>
      <c r="C38" s="2"/>
      <c r="D38" s="5">
        <f t="shared" si="2"/>
        <v>3.6</v>
      </c>
      <c r="E38" s="4">
        <f t="shared" si="3"/>
        <v>319.5</v>
      </c>
      <c r="F38" s="3">
        <f t="shared" si="5"/>
        <v>34.951456310679603</v>
      </c>
    </row>
    <row r="39" spans="1:6" x14ac:dyDescent="0.35">
      <c r="A39" s="1">
        <v>3700</v>
      </c>
      <c r="B39" s="2">
        <v>3.8368055555555555E-3</v>
      </c>
      <c r="C39" s="2"/>
      <c r="D39" s="5">
        <f t="shared" si="2"/>
        <v>3.7</v>
      </c>
      <c r="E39" s="4">
        <f t="shared" si="3"/>
        <v>331.5</v>
      </c>
      <c r="F39" s="3">
        <f t="shared" si="5"/>
        <v>30.000000000000025</v>
      </c>
    </row>
    <row r="40" spans="1:6" x14ac:dyDescent="0.35">
      <c r="A40" s="1">
        <v>3800</v>
      </c>
      <c r="B40" s="2">
        <v>3.975694444444444E-3</v>
      </c>
      <c r="C40" s="2"/>
      <c r="D40" s="5">
        <f t="shared" si="2"/>
        <v>3.8</v>
      </c>
      <c r="E40" s="4">
        <f t="shared" si="3"/>
        <v>343.49999999999994</v>
      </c>
      <c r="F40" s="3">
        <f t="shared" si="5"/>
        <v>30.000000000000036</v>
      </c>
    </row>
    <row r="41" spans="1:6" x14ac:dyDescent="0.35">
      <c r="A41" s="1">
        <v>3900</v>
      </c>
      <c r="B41" s="2">
        <v>4.1145833333333329E-3</v>
      </c>
      <c r="C41" s="2"/>
      <c r="D41" s="5">
        <f t="shared" si="2"/>
        <v>3.9</v>
      </c>
      <c r="E41" s="4">
        <f t="shared" si="3"/>
        <v>355.49999999999994</v>
      </c>
      <c r="F41" s="3">
        <f t="shared" si="5"/>
        <v>30.000000000000025</v>
      </c>
    </row>
    <row r="42" spans="1:6" x14ac:dyDescent="0.35">
      <c r="A42" s="1">
        <v>4000</v>
      </c>
      <c r="B42" s="2">
        <v>4.2534722222222219E-3</v>
      </c>
      <c r="C42" s="2"/>
      <c r="D42" s="5">
        <f t="shared" si="2"/>
        <v>4</v>
      </c>
      <c r="E42" s="4">
        <f t="shared" si="3"/>
        <v>367.5</v>
      </c>
      <c r="F42" s="3">
        <f t="shared" si="5"/>
        <v>29.999999999999883</v>
      </c>
    </row>
    <row r="43" spans="1:6" x14ac:dyDescent="0.35">
      <c r="A43" s="1">
        <v>4100</v>
      </c>
      <c r="B43" s="2">
        <v>4.3576388888888892E-3</v>
      </c>
      <c r="C43" s="2"/>
      <c r="D43" s="5">
        <f t="shared" si="2"/>
        <v>4.0999999999999996</v>
      </c>
      <c r="E43" s="4">
        <f t="shared" si="3"/>
        <v>376.5</v>
      </c>
      <c r="F43" s="3">
        <f t="shared" si="5"/>
        <v>39.999999999999858</v>
      </c>
    </row>
    <row r="44" spans="1:6" x14ac:dyDescent="0.35">
      <c r="A44" s="1">
        <v>4200</v>
      </c>
      <c r="B44" s="2">
        <v>4.4618055555555557E-3</v>
      </c>
      <c r="C44" s="2"/>
      <c r="D44" s="5">
        <f t="shared" si="2"/>
        <v>4.2</v>
      </c>
      <c r="E44" s="4">
        <f t="shared" si="3"/>
        <v>385.5</v>
      </c>
      <c r="F44" s="3">
        <f t="shared" si="5"/>
        <v>40.000000000000213</v>
      </c>
    </row>
    <row r="45" spans="1:6" x14ac:dyDescent="0.35">
      <c r="A45" s="1">
        <v>4300</v>
      </c>
      <c r="B45" s="2">
        <v>4.5659722222222221E-3</v>
      </c>
      <c r="C45" s="2"/>
      <c r="D45" s="5">
        <f t="shared" si="2"/>
        <v>4.3</v>
      </c>
      <c r="E45" s="4">
        <f t="shared" si="3"/>
        <v>394.5</v>
      </c>
      <c r="F45" s="3">
        <f t="shared" si="5"/>
        <v>39.999999999999858</v>
      </c>
    </row>
    <row r="46" spans="1:6" x14ac:dyDescent="0.35">
      <c r="A46" s="1">
        <v>4400</v>
      </c>
      <c r="B46" s="2">
        <v>4.6597222222222222E-3</v>
      </c>
      <c r="C46" s="2"/>
      <c r="D46" s="5">
        <f t="shared" si="2"/>
        <v>4.4000000000000004</v>
      </c>
      <c r="E46" s="4">
        <f t="shared" si="3"/>
        <v>402.6</v>
      </c>
      <c r="F46" s="3">
        <f t="shared" si="5"/>
        <v>44.444444444444557</v>
      </c>
    </row>
    <row r="47" spans="1:6" x14ac:dyDescent="0.35">
      <c r="A47" s="1">
        <v>4500</v>
      </c>
      <c r="B47" s="2">
        <v>4.7430555555555559E-3</v>
      </c>
      <c r="C47" s="2"/>
      <c r="D47" s="5">
        <f t="shared" si="2"/>
        <v>4.5</v>
      </c>
      <c r="E47" s="4">
        <f t="shared" si="3"/>
        <v>409.8</v>
      </c>
      <c r="F47" s="3">
        <f t="shared" si="5"/>
        <v>49.999999999999901</v>
      </c>
    </row>
    <row r="48" spans="1:6" x14ac:dyDescent="0.35">
      <c r="A48" s="1">
        <v>4600</v>
      </c>
      <c r="B48" s="2">
        <v>4.8263888888888887E-3</v>
      </c>
      <c r="C48" s="2"/>
      <c r="D48" s="5">
        <f t="shared" si="2"/>
        <v>4.5999999999999996</v>
      </c>
      <c r="E48" s="4">
        <f t="shared" si="3"/>
        <v>417</v>
      </c>
      <c r="F48" s="3">
        <f t="shared" si="5"/>
        <v>49.999999999999901</v>
      </c>
    </row>
    <row r="49" spans="1:6" x14ac:dyDescent="0.35">
      <c r="A49" s="1">
        <v>4700</v>
      </c>
      <c r="B49" s="2">
        <v>4.9097222222222224E-3</v>
      </c>
      <c r="C49" s="2"/>
      <c r="D49" s="5">
        <f t="shared" si="2"/>
        <v>4.7</v>
      </c>
      <c r="E49" s="4">
        <f t="shared" si="3"/>
        <v>424.20000000000005</v>
      </c>
      <c r="F49" s="3">
        <f t="shared" si="5"/>
        <v>49.99999999999995</v>
      </c>
    </row>
    <row r="50" spans="1:6" x14ac:dyDescent="0.35">
      <c r="A50" s="1">
        <v>4800</v>
      </c>
      <c r="B50" s="2">
        <v>4.9930555555555553E-3</v>
      </c>
      <c r="C50" s="2"/>
      <c r="D50" s="5">
        <f t="shared" si="2"/>
        <v>4.8</v>
      </c>
      <c r="E50" s="4">
        <f t="shared" si="3"/>
        <v>431.4</v>
      </c>
      <c r="F50" s="3">
        <f t="shared" si="5"/>
        <v>50.000000000000298</v>
      </c>
    </row>
    <row r="51" spans="1:6" x14ac:dyDescent="0.35">
      <c r="A51" s="1">
        <v>4900</v>
      </c>
      <c r="B51" s="2">
        <v>5.076388888888889E-3</v>
      </c>
      <c r="C51" s="2"/>
      <c r="D51" s="5">
        <f t="shared" si="2"/>
        <v>4.9000000000000004</v>
      </c>
      <c r="E51" s="4">
        <f t="shared" si="3"/>
        <v>438.6</v>
      </c>
      <c r="F51" s="3">
        <f t="shared" si="5"/>
        <v>49.99999999999995</v>
      </c>
    </row>
    <row r="52" spans="1:6" x14ac:dyDescent="0.35">
      <c r="A52" s="1">
        <v>5000</v>
      </c>
      <c r="B52" s="2">
        <v>5.1597222222222227E-3</v>
      </c>
      <c r="C52" s="2"/>
      <c r="D52" s="5">
        <f t="shared" si="2"/>
        <v>5</v>
      </c>
      <c r="E52" s="4">
        <f t="shared" si="3"/>
        <v>445.80000000000007</v>
      </c>
      <c r="F52" s="3">
        <f t="shared" si="5"/>
        <v>49.99999999999951</v>
      </c>
    </row>
    <row r="53" spans="1:6" x14ac:dyDescent="0.35">
      <c r="A53" s="1">
        <v>5100</v>
      </c>
      <c r="B53" s="2">
        <v>5.2430555555555555E-3</v>
      </c>
      <c r="C53" s="2"/>
      <c r="D53" s="5">
        <f t="shared" si="2"/>
        <v>5.0999999999999996</v>
      </c>
      <c r="E53" s="4">
        <f t="shared" si="3"/>
        <v>452.99999999999994</v>
      </c>
      <c r="F53" s="3">
        <f t="shared" si="5"/>
        <v>50.000000000000689</v>
      </c>
    </row>
    <row r="54" spans="1:6" x14ac:dyDescent="0.35">
      <c r="A54" s="1">
        <v>5200</v>
      </c>
      <c r="B54" s="2">
        <v>5.3263888888888892E-3</v>
      </c>
      <c r="C54" s="2"/>
      <c r="D54" s="5">
        <f t="shared" si="2"/>
        <v>5.2</v>
      </c>
      <c r="E54" s="4">
        <f t="shared" si="3"/>
        <v>460.2000000000001</v>
      </c>
      <c r="F54" s="3">
        <f t="shared" si="5"/>
        <v>49.999999999999162</v>
      </c>
    </row>
    <row r="55" spans="1:6" x14ac:dyDescent="0.35">
      <c r="A55" s="1">
        <v>5300</v>
      </c>
      <c r="B55" s="2">
        <v>5.409722222222222E-3</v>
      </c>
      <c r="C55" s="2"/>
      <c r="D55" s="5">
        <f t="shared" si="2"/>
        <v>5.3</v>
      </c>
      <c r="E55" s="4">
        <f t="shared" si="3"/>
        <v>467.4</v>
      </c>
      <c r="F55" s="3">
        <f t="shared" si="5"/>
        <v>50.000000000000689</v>
      </c>
    </row>
    <row r="56" spans="1:6" x14ac:dyDescent="0.35">
      <c r="A56" s="1">
        <v>5400</v>
      </c>
      <c r="B56" s="2">
        <v>5.4930555555555557E-3</v>
      </c>
      <c r="C56" s="2"/>
      <c r="D56" s="5">
        <f t="shared" si="2"/>
        <v>5.4</v>
      </c>
      <c r="E56" s="4">
        <f t="shared" si="3"/>
        <v>474.59999999999997</v>
      </c>
      <c r="F56" s="3">
        <f t="shared" si="5"/>
        <v>50.000000000000341</v>
      </c>
    </row>
    <row r="57" spans="1:6" x14ac:dyDescent="0.35">
      <c r="A57" s="1">
        <v>5500</v>
      </c>
      <c r="B57" s="2">
        <v>5.5763888888888894E-3</v>
      </c>
      <c r="C57" s="2"/>
      <c r="D57" s="5">
        <f t="shared" si="2"/>
        <v>5.5</v>
      </c>
      <c r="E57" s="4">
        <f t="shared" si="3"/>
        <v>481.80000000000007</v>
      </c>
      <c r="F57" s="3">
        <f t="shared" si="5"/>
        <v>49.999999999999119</v>
      </c>
    </row>
    <row r="58" spans="1:6" x14ac:dyDescent="0.35">
      <c r="A58" s="1">
        <v>5600</v>
      </c>
      <c r="B58" s="2">
        <v>5.6597222222222222E-3</v>
      </c>
      <c r="C58" s="2"/>
      <c r="D58" s="5">
        <f t="shared" si="2"/>
        <v>5.6</v>
      </c>
      <c r="E58" s="4">
        <f t="shared" si="3"/>
        <v>489</v>
      </c>
      <c r="F58" s="3">
        <f t="shared" si="5"/>
        <v>50.000000000000298</v>
      </c>
    </row>
    <row r="59" spans="1:6" x14ac:dyDescent="0.35">
      <c r="A59" s="1">
        <v>5700</v>
      </c>
      <c r="B59" s="2">
        <v>5.7430555555555551E-3</v>
      </c>
      <c r="C59" s="2"/>
      <c r="D59" s="5">
        <f t="shared" si="2"/>
        <v>5.7</v>
      </c>
      <c r="E59" s="4">
        <f t="shared" si="3"/>
        <v>496.19999999999993</v>
      </c>
      <c r="F59" s="3">
        <f t="shared" si="5"/>
        <v>50.000000000000739</v>
      </c>
    </row>
    <row r="60" spans="1:6" x14ac:dyDescent="0.35">
      <c r="A60" s="1">
        <v>5800</v>
      </c>
      <c r="B60" s="2">
        <v>5.8263888888888888E-3</v>
      </c>
      <c r="C60" s="2"/>
      <c r="D60" s="5">
        <f t="shared" si="2"/>
        <v>5.8</v>
      </c>
      <c r="E60" s="4">
        <f t="shared" si="3"/>
        <v>503.40000000000003</v>
      </c>
      <c r="F60" s="3">
        <f t="shared" si="5"/>
        <v>49.999999999999119</v>
      </c>
    </row>
    <row r="61" spans="1:6" x14ac:dyDescent="0.35">
      <c r="A61" s="1">
        <v>5900</v>
      </c>
      <c r="B61" s="2">
        <v>5.9097222222222225E-3</v>
      </c>
      <c r="C61" s="2"/>
      <c r="D61" s="5">
        <f t="shared" si="2"/>
        <v>5.9</v>
      </c>
      <c r="E61" s="4">
        <f t="shared" si="3"/>
        <v>510.6</v>
      </c>
      <c r="F61" s="3">
        <f t="shared" si="5"/>
        <v>50.000000000000341</v>
      </c>
    </row>
    <row r="62" spans="1:6" x14ac:dyDescent="0.35">
      <c r="A62" s="1">
        <v>6000</v>
      </c>
      <c r="B62" s="2">
        <v>5.9930555555555553E-3</v>
      </c>
      <c r="C62" s="2"/>
      <c r="D62" s="5">
        <f t="shared" si="2"/>
        <v>6</v>
      </c>
      <c r="E62" s="4">
        <f t="shared" si="3"/>
        <v>517.79999999999995</v>
      </c>
      <c r="F62" s="3">
        <f t="shared" si="5"/>
        <v>50.000000000000298</v>
      </c>
    </row>
    <row r="63" spans="1:6" x14ac:dyDescent="0.35">
      <c r="A63" s="1">
        <v>6100</v>
      </c>
      <c r="B63" s="2">
        <v>6.076388888888889E-3</v>
      </c>
      <c r="C63" s="2"/>
      <c r="D63" s="5">
        <f t="shared" si="2"/>
        <v>6.1</v>
      </c>
      <c r="E63" s="4">
        <f t="shared" si="3"/>
        <v>525</v>
      </c>
      <c r="F63" s="3">
        <f t="shared" si="5"/>
        <v>49.99999999999951</v>
      </c>
    </row>
    <row r="64" spans="1:6" x14ac:dyDescent="0.35">
      <c r="A64" s="1">
        <v>6200</v>
      </c>
      <c r="B64" s="2">
        <v>6.1597222222222227E-3</v>
      </c>
      <c r="C64" s="2"/>
      <c r="D64" s="5">
        <f t="shared" si="2"/>
        <v>6.2</v>
      </c>
      <c r="E64" s="4">
        <f t="shared" si="3"/>
        <v>532.20000000000005</v>
      </c>
      <c r="F64" s="3">
        <f t="shared" si="5"/>
        <v>49.99999999999995</v>
      </c>
    </row>
    <row r="65" spans="1:6" x14ac:dyDescent="0.35">
      <c r="A65" s="1">
        <v>6300</v>
      </c>
      <c r="B65" s="2">
        <v>6.2430555555555555E-3</v>
      </c>
      <c r="C65" s="2"/>
      <c r="D65" s="5">
        <f t="shared" si="2"/>
        <v>6.3</v>
      </c>
      <c r="E65" s="4">
        <f t="shared" si="3"/>
        <v>539.4</v>
      </c>
      <c r="F65" s="3">
        <f t="shared" si="5"/>
        <v>50.000000000000298</v>
      </c>
    </row>
    <row r="66" spans="1:6" x14ac:dyDescent="0.35">
      <c r="A66" s="1">
        <v>6400</v>
      </c>
      <c r="B66" s="2">
        <v>6.3263888888888892E-3</v>
      </c>
      <c r="C66" s="2"/>
      <c r="D66" s="5">
        <f t="shared" si="2"/>
        <v>6.4</v>
      </c>
      <c r="E66" s="4">
        <f t="shared" si="3"/>
        <v>546.6</v>
      </c>
      <c r="F66" s="3">
        <f t="shared" si="5"/>
        <v>49.99999999999995</v>
      </c>
    </row>
    <row r="67" spans="1:6" x14ac:dyDescent="0.35">
      <c r="A67" s="1">
        <v>6500</v>
      </c>
      <c r="B67" s="2">
        <v>6.409722222222222E-3</v>
      </c>
      <c r="C67" s="2"/>
      <c r="D67" s="5">
        <f t="shared" ref="D67:D77" si="7">A67/1000</f>
        <v>6.5</v>
      </c>
      <c r="E67" s="4">
        <f t="shared" ref="E67:E77" si="8">B67*24*3600</f>
        <v>553.79999999999995</v>
      </c>
      <c r="F67" s="3">
        <f t="shared" si="5"/>
        <v>50.000000000000298</v>
      </c>
    </row>
    <row r="68" spans="1:6" x14ac:dyDescent="0.35">
      <c r="A68" s="1">
        <v>6600</v>
      </c>
      <c r="B68" s="2">
        <v>6.4930555555555557E-3</v>
      </c>
      <c r="C68" s="2"/>
      <c r="D68" s="5">
        <f t="shared" si="7"/>
        <v>6.6</v>
      </c>
      <c r="E68" s="4">
        <f t="shared" si="8"/>
        <v>561</v>
      </c>
      <c r="F68" s="3">
        <f t="shared" ref="F68:F77" si="9">(D68-D67)/((E68-E67)/3600)</f>
        <v>49.99999999999951</v>
      </c>
    </row>
    <row r="69" spans="1:6" x14ac:dyDescent="0.35">
      <c r="A69" s="1">
        <v>6700</v>
      </c>
      <c r="B69" s="2">
        <v>6.5763888888888894E-3</v>
      </c>
      <c r="C69" s="2"/>
      <c r="D69" s="5">
        <f t="shared" si="7"/>
        <v>6.7</v>
      </c>
      <c r="E69" s="4">
        <f t="shared" si="8"/>
        <v>568.20000000000005</v>
      </c>
      <c r="F69" s="3">
        <f t="shared" si="9"/>
        <v>49.99999999999995</v>
      </c>
    </row>
    <row r="70" spans="1:6" x14ac:dyDescent="0.35">
      <c r="A70" s="1">
        <v>6800</v>
      </c>
      <c r="B70" s="2">
        <v>6.6597222222222223E-3</v>
      </c>
      <c r="C70" s="2"/>
      <c r="D70" s="5">
        <f t="shared" si="7"/>
        <v>6.8</v>
      </c>
      <c r="E70" s="4">
        <f t="shared" si="8"/>
        <v>575.4</v>
      </c>
      <c r="F70" s="3">
        <f t="shared" si="9"/>
        <v>50.000000000000298</v>
      </c>
    </row>
    <row r="71" spans="1:6" x14ac:dyDescent="0.35">
      <c r="A71" s="1">
        <v>6900</v>
      </c>
      <c r="B71" s="2">
        <v>6.743055555555556E-3</v>
      </c>
      <c r="C71" s="2"/>
      <c r="D71" s="5">
        <f t="shared" si="7"/>
        <v>6.9</v>
      </c>
      <c r="E71" s="4">
        <f t="shared" si="8"/>
        <v>582.6</v>
      </c>
      <c r="F71" s="3">
        <f t="shared" si="9"/>
        <v>49.99999999999995</v>
      </c>
    </row>
    <row r="72" spans="1:6" x14ac:dyDescent="0.35">
      <c r="A72" s="1">
        <v>7000</v>
      </c>
      <c r="B72" s="2">
        <v>6.8263888888888888E-3</v>
      </c>
      <c r="C72" s="2"/>
      <c r="D72" s="5">
        <f t="shared" si="7"/>
        <v>7</v>
      </c>
      <c r="E72" s="4">
        <f t="shared" si="8"/>
        <v>589.79999999999995</v>
      </c>
      <c r="F72" s="3">
        <f t="shared" si="9"/>
        <v>50.000000000000298</v>
      </c>
    </row>
    <row r="73" spans="1:6" x14ac:dyDescent="0.35">
      <c r="A73" s="1">
        <v>7100</v>
      </c>
      <c r="B73" s="2">
        <v>6.9097222222222225E-3</v>
      </c>
      <c r="C73" s="2"/>
      <c r="D73" s="5">
        <f t="shared" si="7"/>
        <v>7.1</v>
      </c>
      <c r="E73" s="4">
        <f t="shared" si="8"/>
        <v>597</v>
      </c>
      <c r="F73" s="3">
        <f t="shared" si="9"/>
        <v>49.99999999999951</v>
      </c>
    </row>
    <row r="74" spans="1:6" x14ac:dyDescent="0.35">
      <c r="A74" s="1">
        <v>7200</v>
      </c>
      <c r="B74" s="2">
        <v>6.9930555555555562E-3</v>
      </c>
      <c r="C74" s="2"/>
      <c r="D74" s="5">
        <f t="shared" si="7"/>
        <v>7.2</v>
      </c>
      <c r="E74" s="4">
        <f t="shared" si="8"/>
        <v>604.20000000000005</v>
      </c>
      <c r="F74" s="3">
        <f t="shared" si="9"/>
        <v>49.99999999999995</v>
      </c>
    </row>
    <row r="75" spans="1:6" x14ac:dyDescent="0.35">
      <c r="A75" s="1">
        <v>7300</v>
      </c>
      <c r="B75" s="2">
        <v>7.076388888888889E-3</v>
      </c>
      <c r="C75" s="2"/>
      <c r="D75" s="5">
        <f t="shared" si="7"/>
        <v>7.3</v>
      </c>
      <c r="E75" s="4">
        <f t="shared" si="8"/>
        <v>611.4</v>
      </c>
      <c r="F75" s="3">
        <f t="shared" si="9"/>
        <v>50.000000000000298</v>
      </c>
    </row>
    <row r="76" spans="1:6" x14ac:dyDescent="0.35">
      <c r="A76" s="1">
        <v>7400</v>
      </c>
      <c r="B76" s="2">
        <v>7.1597222222222227E-3</v>
      </c>
      <c r="C76" s="2"/>
      <c r="D76" s="5">
        <f t="shared" si="7"/>
        <v>7.4</v>
      </c>
      <c r="E76" s="4">
        <f t="shared" si="8"/>
        <v>618.6</v>
      </c>
      <c r="F76" s="3">
        <f t="shared" si="9"/>
        <v>49.99999999999995</v>
      </c>
    </row>
    <row r="77" spans="1:6" x14ac:dyDescent="0.35">
      <c r="A77" s="1">
        <v>7416</v>
      </c>
      <c r="B77" s="2">
        <v>7.1736111111111106E-3</v>
      </c>
      <c r="C77" s="2"/>
      <c r="D77" s="5">
        <f t="shared" si="7"/>
        <v>7.4160000000000004</v>
      </c>
      <c r="E77" s="4">
        <f t="shared" si="8"/>
        <v>619.79999999999995</v>
      </c>
      <c r="F77" s="3">
        <f t="shared" si="9"/>
        <v>48.000000000002771</v>
      </c>
    </row>
  </sheetData>
  <conditionalFormatting sqref="F2:F77">
    <cfRule type="colorScale" priority="1">
      <colorScale>
        <cfvo type="num" val="20"/>
        <cfvo type="num" val="35"/>
        <cfvo type="num" val="50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SG_TC04_01</vt:lpstr>
      <vt:lpstr>RPR_TC01_01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FerDT</dc:creator>
  <cp:lastModifiedBy>FerDT</cp:lastModifiedBy>
  <dcterms:created xsi:type="dcterms:W3CDTF">2026-02-09T08:09:30Z</dcterms:created>
  <dcterms:modified xsi:type="dcterms:W3CDTF">2026-02-13T10:31:45Z</dcterms:modified>
</cp:coreProperties>
</file>
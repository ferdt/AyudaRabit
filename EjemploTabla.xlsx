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\LectorOCRTablas\"/>
    </mc:Choice>
  </mc:AlternateContent>
  <xr:revisionPtr revIDLastSave="0" documentId="13_ncr:1_{96479C65-655B-493D-BEE0-6788DC42D7C4}" xr6:coauthVersionLast="47" xr6:coauthVersionMax="47" xr10:uidLastSave="{00000000-0000-0000-0000-000000000000}"/>
  <bookViews>
    <workbookView xWindow="19110" yWindow="0" windowWidth="19380" windowHeight="20970" xr2:uid="{608736EE-03F0-404B-983C-B04CF5B4E67E}"/>
  </bookViews>
  <sheets>
    <sheet name="SG_TC04_01" sheetId="2" r:id="rId1"/>
    <sheet name="SG_TC12_01" sheetId="8" r:id="rId2"/>
    <sheet name="SG_TC14_01" sheetId="6" r:id="rId3"/>
    <sheet name="Sheet3" sheetId="7" r:id="rId4"/>
    <sheet name="RPR_TC01_01" sheetId="4" r:id="rId5"/>
    <sheet name="ejemplo" sheetId="5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5" i="2" l="1"/>
  <c r="G5" i="8"/>
  <c r="H5" i="8" s="1"/>
  <c r="G6" i="8"/>
  <c r="H6" i="8"/>
  <c r="G7" i="8"/>
  <c r="H7" i="8"/>
  <c r="G8" i="8"/>
  <c r="H8" i="8"/>
  <c r="G9" i="8"/>
  <c r="H9" i="8"/>
  <c r="G10" i="8"/>
  <c r="H10" i="8"/>
  <c r="G11" i="8"/>
  <c r="H11" i="8" s="1"/>
  <c r="G12" i="8"/>
  <c r="H12" i="8"/>
  <c r="G13" i="8"/>
  <c r="H13" i="8"/>
  <c r="G14" i="8"/>
  <c r="H14" i="8"/>
  <c r="G15" i="8"/>
  <c r="H15" i="8"/>
  <c r="G16" i="8"/>
  <c r="H16" i="8"/>
  <c r="G17" i="8"/>
  <c r="H17" i="8" s="1"/>
  <c r="G18" i="8"/>
  <c r="H18" i="8"/>
  <c r="G19" i="8"/>
  <c r="H19" i="8"/>
  <c r="G20" i="8"/>
  <c r="H20" i="8"/>
  <c r="G21" i="8"/>
  <c r="H21" i="8"/>
  <c r="G22" i="8"/>
  <c r="H22" i="8"/>
  <c r="G23" i="8"/>
  <c r="H23" i="8" s="1"/>
  <c r="G24" i="8"/>
  <c r="H24" i="8"/>
  <c r="G25" i="8"/>
  <c r="H25" i="8"/>
  <c r="G26" i="8"/>
  <c r="H26" i="8"/>
  <c r="G27" i="8"/>
  <c r="H27" i="8"/>
  <c r="G28" i="8"/>
  <c r="H28" i="8"/>
  <c r="G29" i="8"/>
  <c r="H29" i="8" s="1"/>
  <c r="G30" i="8"/>
  <c r="H30" i="8"/>
  <c r="G31" i="8"/>
  <c r="H31" i="8"/>
  <c r="G32" i="8"/>
  <c r="H32" i="8"/>
  <c r="G33" i="8"/>
  <c r="H33" i="8"/>
  <c r="G34" i="8"/>
  <c r="H34" i="8"/>
  <c r="G35" i="8"/>
  <c r="H35" i="8" s="1"/>
  <c r="G36" i="8"/>
  <c r="H36" i="8"/>
  <c r="G37" i="8"/>
  <c r="H37" i="8"/>
  <c r="G38" i="8"/>
  <c r="H38" i="8"/>
  <c r="G39" i="8"/>
  <c r="H39" i="8"/>
  <c r="G40" i="8"/>
  <c r="H40" i="8"/>
  <c r="G41" i="8"/>
  <c r="H41" i="8" s="1"/>
  <c r="G42" i="8"/>
  <c r="H42" i="8"/>
  <c r="G43" i="8"/>
  <c r="H43" i="8"/>
  <c r="G44" i="8"/>
  <c r="H44" i="8"/>
  <c r="G45" i="8"/>
  <c r="H45" i="8"/>
  <c r="G46" i="8"/>
  <c r="H46" i="8"/>
  <c r="G47" i="8"/>
  <c r="H47" i="8" s="1"/>
  <c r="G48" i="8"/>
  <c r="H48" i="8"/>
  <c r="G49" i="8"/>
  <c r="H49" i="8"/>
  <c r="G50" i="8"/>
  <c r="H50" i="8"/>
  <c r="G51" i="8"/>
  <c r="H51" i="8"/>
  <c r="G52" i="8"/>
  <c r="H52" i="8"/>
  <c r="G53" i="8"/>
  <c r="H53" i="8" s="1"/>
  <c r="G54" i="8"/>
  <c r="H54" i="8"/>
  <c r="G55" i="8"/>
  <c r="H55" i="8"/>
  <c r="G56" i="8"/>
  <c r="H56" i="8"/>
  <c r="G57" i="8"/>
  <c r="H57" i="8"/>
  <c r="G58" i="8"/>
  <c r="H58" i="8"/>
  <c r="G59" i="8"/>
  <c r="H59" i="8" s="1"/>
  <c r="G60" i="8"/>
  <c r="H60" i="8"/>
  <c r="G61" i="8"/>
  <c r="H61" i="8"/>
  <c r="G62" i="8"/>
  <c r="H62" i="8"/>
  <c r="G63" i="8"/>
  <c r="H63" i="8"/>
  <c r="G64" i="8"/>
  <c r="H64" i="8"/>
  <c r="G65" i="8"/>
  <c r="H65" i="8" s="1"/>
  <c r="G66" i="8"/>
  <c r="H66" i="8"/>
  <c r="G67" i="8"/>
  <c r="H67" i="8"/>
  <c r="G68" i="8"/>
  <c r="H68" i="8"/>
  <c r="G69" i="8"/>
  <c r="H69" i="8"/>
  <c r="G70" i="8"/>
  <c r="H70" i="8"/>
  <c r="G71" i="8"/>
  <c r="H71" i="8" s="1"/>
  <c r="G72" i="8"/>
  <c r="H72" i="8"/>
  <c r="G73" i="8"/>
  <c r="H73" i="8"/>
  <c r="G3" i="8"/>
  <c r="H3" i="8"/>
  <c r="G4" i="8"/>
  <c r="H4" i="8"/>
  <c r="H2" i="8"/>
  <c r="C75" i="8"/>
  <c r="D75" i="8"/>
  <c r="E75" i="8"/>
  <c r="C76" i="8"/>
  <c r="D76" i="8"/>
  <c r="E76" i="8"/>
  <c r="C77" i="8"/>
  <c r="D77" i="8"/>
  <c r="E77" i="8"/>
  <c r="C78" i="8"/>
  <c r="D78" i="8"/>
  <c r="E78" i="8"/>
  <c r="C79" i="8"/>
  <c r="D79" i="8"/>
  <c r="E79" i="8"/>
  <c r="C80" i="8"/>
  <c r="D80" i="8"/>
  <c r="E80" i="8"/>
  <c r="C81" i="8"/>
  <c r="D81" i="8"/>
  <c r="E81" i="8"/>
  <c r="C82" i="8"/>
  <c r="D82" i="8"/>
  <c r="E82" i="8"/>
  <c r="C83" i="8"/>
  <c r="D83" i="8"/>
  <c r="E83" i="8"/>
  <c r="C84" i="8"/>
  <c r="D84" i="8"/>
  <c r="E84" i="8"/>
  <c r="C85" i="8"/>
  <c r="D85" i="8"/>
  <c r="E85" i="8"/>
  <c r="C86" i="8"/>
  <c r="D86" i="8"/>
  <c r="E86" i="8"/>
  <c r="C87" i="8"/>
  <c r="D87" i="8"/>
  <c r="E87" i="8"/>
  <c r="C88" i="8"/>
  <c r="D88" i="8"/>
  <c r="E88" i="8"/>
  <c r="C89" i="8"/>
  <c r="D89" i="8"/>
  <c r="E89" i="8"/>
  <c r="C90" i="8"/>
  <c r="D90" i="8"/>
  <c r="E90" i="8"/>
  <c r="C91" i="8"/>
  <c r="D91" i="8"/>
  <c r="E91" i="8"/>
  <c r="C92" i="8"/>
  <c r="D92" i="8"/>
  <c r="E92" i="8"/>
  <c r="C93" i="8"/>
  <c r="D93" i="8"/>
  <c r="E93" i="8"/>
  <c r="C94" i="8"/>
  <c r="D94" i="8"/>
  <c r="E94" i="8"/>
  <c r="C95" i="8"/>
  <c r="D95" i="8"/>
  <c r="E95" i="8"/>
  <c r="C96" i="8"/>
  <c r="D96" i="8"/>
  <c r="E96" i="8"/>
  <c r="E74" i="8"/>
  <c r="D74" i="8"/>
  <c r="C74" i="8"/>
  <c r="E73" i="8"/>
  <c r="D73" i="8"/>
  <c r="C73" i="8"/>
  <c r="E72" i="8"/>
  <c r="D72" i="8"/>
  <c r="C72" i="8"/>
  <c r="E71" i="8"/>
  <c r="D71" i="8"/>
  <c r="C71" i="8"/>
  <c r="E70" i="8"/>
  <c r="D70" i="8"/>
  <c r="C70" i="8"/>
  <c r="E69" i="8"/>
  <c r="D69" i="8"/>
  <c r="C69" i="8"/>
  <c r="E68" i="8"/>
  <c r="D68" i="8"/>
  <c r="C68" i="8"/>
  <c r="E67" i="8"/>
  <c r="D67" i="8"/>
  <c r="C67" i="8"/>
  <c r="E66" i="8"/>
  <c r="D66" i="8"/>
  <c r="C66" i="8"/>
  <c r="E65" i="8"/>
  <c r="D65" i="8"/>
  <c r="C65" i="8"/>
  <c r="E64" i="8"/>
  <c r="D64" i="8"/>
  <c r="C64" i="8"/>
  <c r="E63" i="8"/>
  <c r="D63" i="8"/>
  <c r="C63" i="8"/>
  <c r="E62" i="8"/>
  <c r="D62" i="8"/>
  <c r="C62" i="8"/>
  <c r="E61" i="8"/>
  <c r="D61" i="8"/>
  <c r="C61" i="8"/>
  <c r="E60" i="8"/>
  <c r="D60" i="8"/>
  <c r="C60" i="8"/>
  <c r="E59" i="8"/>
  <c r="D59" i="8"/>
  <c r="C59" i="8"/>
  <c r="E58" i="8"/>
  <c r="D58" i="8"/>
  <c r="C58" i="8"/>
  <c r="E57" i="8"/>
  <c r="D57" i="8"/>
  <c r="C57" i="8"/>
  <c r="E56" i="8"/>
  <c r="D56" i="8"/>
  <c r="C56" i="8"/>
  <c r="E55" i="8"/>
  <c r="D55" i="8"/>
  <c r="C55" i="8"/>
  <c r="E54" i="8"/>
  <c r="D54" i="8"/>
  <c r="C54" i="8"/>
  <c r="E53" i="8"/>
  <c r="D53" i="8"/>
  <c r="C53" i="8"/>
  <c r="E52" i="8"/>
  <c r="D52" i="8"/>
  <c r="C52" i="8"/>
  <c r="E51" i="8"/>
  <c r="D51" i="8"/>
  <c r="C51" i="8"/>
  <c r="E50" i="8"/>
  <c r="D50" i="8"/>
  <c r="C50" i="8"/>
  <c r="E49" i="8"/>
  <c r="D49" i="8"/>
  <c r="C49" i="8"/>
  <c r="E48" i="8"/>
  <c r="D48" i="8"/>
  <c r="C48" i="8"/>
  <c r="E47" i="8"/>
  <c r="D47" i="8"/>
  <c r="C47" i="8"/>
  <c r="E46" i="8"/>
  <c r="D46" i="8"/>
  <c r="C46" i="8"/>
  <c r="E45" i="8"/>
  <c r="D45" i="8"/>
  <c r="C45" i="8"/>
  <c r="E44" i="8"/>
  <c r="D44" i="8"/>
  <c r="C44" i="8"/>
  <c r="E43" i="8"/>
  <c r="D43" i="8"/>
  <c r="C43" i="8"/>
  <c r="E42" i="8"/>
  <c r="D42" i="8"/>
  <c r="C42" i="8"/>
  <c r="E41" i="8"/>
  <c r="D41" i="8"/>
  <c r="C41" i="8"/>
  <c r="E40" i="8"/>
  <c r="D40" i="8"/>
  <c r="C40" i="8"/>
  <c r="E39" i="8"/>
  <c r="D39" i="8"/>
  <c r="C39" i="8"/>
  <c r="E38" i="8"/>
  <c r="D38" i="8"/>
  <c r="C38" i="8"/>
  <c r="E37" i="8"/>
  <c r="D37" i="8"/>
  <c r="C37" i="8"/>
  <c r="E36" i="8"/>
  <c r="D36" i="8"/>
  <c r="C36" i="8"/>
  <c r="E35" i="8"/>
  <c r="D35" i="8"/>
  <c r="C35" i="8"/>
  <c r="E34" i="8"/>
  <c r="D34" i="8"/>
  <c r="C34" i="8"/>
  <c r="E33" i="8"/>
  <c r="D33" i="8"/>
  <c r="C33" i="8"/>
  <c r="E32" i="8"/>
  <c r="D32" i="8"/>
  <c r="C32" i="8"/>
  <c r="E31" i="8"/>
  <c r="D31" i="8"/>
  <c r="C31" i="8"/>
  <c r="E30" i="8"/>
  <c r="D30" i="8"/>
  <c r="C30" i="8"/>
  <c r="E29" i="8"/>
  <c r="D29" i="8"/>
  <c r="C29" i="8"/>
  <c r="E28" i="8"/>
  <c r="D28" i="8"/>
  <c r="C28" i="8"/>
  <c r="E27" i="8"/>
  <c r="D27" i="8"/>
  <c r="C27" i="8"/>
  <c r="E26" i="8"/>
  <c r="D26" i="8"/>
  <c r="C26" i="8"/>
  <c r="E25" i="8"/>
  <c r="D25" i="8"/>
  <c r="C25" i="8"/>
  <c r="E24" i="8"/>
  <c r="D24" i="8"/>
  <c r="C24" i="8"/>
  <c r="E23" i="8"/>
  <c r="D23" i="8"/>
  <c r="C23" i="8"/>
  <c r="E22" i="8"/>
  <c r="D22" i="8"/>
  <c r="C22" i="8"/>
  <c r="E21" i="8"/>
  <c r="D21" i="8"/>
  <c r="C21" i="8"/>
  <c r="E20" i="8"/>
  <c r="D20" i="8"/>
  <c r="C20" i="8"/>
  <c r="E19" i="8"/>
  <c r="D19" i="8"/>
  <c r="C19" i="8"/>
  <c r="E18" i="8"/>
  <c r="D18" i="8"/>
  <c r="C18" i="8"/>
  <c r="E17" i="8"/>
  <c r="D17" i="8"/>
  <c r="C17" i="8"/>
  <c r="E16" i="8"/>
  <c r="D16" i="8"/>
  <c r="C16" i="8"/>
  <c r="E15" i="8"/>
  <c r="D15" i="8"/>
  <c r="C15" i="8"/>
  <c r="E14" i="8"/>
  <c r="D14" i="8"/>
  <c r="C14" i="8"/>
  <c r="E13" i="8"/>
  <c r="D13" i="8"/>
  <c r="C13" i="8"/>
  <c r="O12" i="8"/>
  <c r="J12" i="8"/>
  <c r="M12" i="8" s="1"/>
  <c r="E12" i="8"/>
  <c r="D12" i="8"/>
  <c r="C12" i="8"/>
  <c r="O11" i="8"/>
  <c r="J11" i="8"/>
  <c r="M11" i="8" s="1"/>
  <c r="E11" i="8"/>
  <c r="D11" i="8"/>
  <c r="C11" i="8"/>
  <c r="O10" i="8"/>
  <c r="J10" i="8"/>
  <c r="M10" i="8" s="1"/>
  <c r="E10" i="8"/>
  <c r="D10" i="8"/>
  <c r="C10" i="8"/>
  <c r="O9" i="8"/>
  <c r="J9" i="8"/>
  <c r="M9" i="8" s="1"/>
  <c r="E9" i="8"/>
  <c r="D9" i="8"/>
  <c r="C9" i="8"/>
  <c r="O8" i="8"/>
  <c r="J8" i="8"/>
  <c r="M8" i="8" s="1"/>
  <c r="E8" i="8"/>
  <c r="D8" i="8"/>
  <c r="C8" i="8"/>
  <c r="O7" i="8"/>
  <c r="J7" i="8"/>
  <c r="M7" i="8" s="1"/>
  <c r="E7" i="8"/>
  <c r="D7" i="8"/>
  <c r="C7" i="8"/>
  <c r="O6" i="8"/>
  <c r="J6" i="8"/>
  <c r="M6" i="8" s="1"/>
  <c r="E6" i="8"/>
  <c r="D6" i="8"/>
  <c r="C6" i="8"/>
  <c r="O5" i="8"/>
  <c r="J5" i="8"/>
  <c r="M5" i="8" s="1"/>
  <c r="E5" i="8"/>
  <c r="D5" i="8"/>
  <c r="C5" i="8"/>
  <c r="O4" i="8"/>
  <c r="J4" i="8"/>
  <c r="M4" i="8" s="1"/>
  <c r="E4" i="8"/>
  <c r="D4" i="8"/>
  <c r="C4" i="8"/>
  <c r="O3" i="8"/>
  <c r="J3" i="8"/>
  <c r="M3" i="8" s="1"/>
  <c r="E3" i="8"/>
  <c r="D3" i="8"/>
  <c r="C3" i="8"/>
  <c r="O2" i="8"/>
  <c r="M2" i="8"/>
  <c r="P2" i="8" s="1"/>
  <c r="E2" i="8"/>
  <c r="D2" i="8"/>
  <c r="O1" i="8"/>
  <c r="C61" i="6"/>
  <c r="D61" i="6"/>
  <c r="E61" i="6"/>
  <c r="F61" i="6"/>
  <c r="C62" i="6"/>
  <c r="D62" i="6"/>
  <c r="E62" i="6"/>
  <c r="C63" i="6"/>
  <c r="D63" i="6"/>
  <c r="E63" i="6"/>
  <c r="F63" i="6"/>
  <c r="C64" i="6"/>
  <c r="D64" i="6"/>
  <c r="E64" i="6"/>
  <c r="C65" i="6"/>
  <c r="D65" i="6"/>
  <c r="E65" i="6"/>
  <c r="C66" i="6"/>
  <c r="D66" i="6"/>
  <c r="E66" i="6"/>
  <c r="F66" i="6"/>
  <c r="C67" i="6"/>
  <c r="D67" i="6"/>
  <c r="E67" i="6"/>
  <c r="C68" i="6"/>
  <c r="D68" i="6"/>
  <c r="E68" i="6"/>
  <c r="C69" i="6"/>
  <c r="D69" i="6"/>
  <c r="F70" i="6" s="1"/>
  <c r="E69" i="6"/>
  <c r="F69" i="6"/>
  <c r="C70" i="6"/>
  <c r="D70" i="6"/>
  <c r="E70" i="6"/>
  <c r="C71" i="6"/>
  <c r="D71" i="6"/>
  <c r="F71" i="6" s="1"/>
  <c r="E71" i="6"/>
  <c r="C72" i="6"/>
  <c r="D72" i="6"/>
  <c r="F73" i="6" s="1"/>
  <c r="E72" i="6"/>
  <c r="F72" i="6"/>
  <c r="C73" i="6"/>
  <c r="D73" i="6"/>
  <c r="E73" i="6"/>
  <c r="C74" i="6"/>
  <c r="D74" i="6"/>
  <c r="F74" i="6" s="1"/>
  <c r="E74" i="6"/>
  <c r="C59" i="6"/>
  <c r="D59" i="6"/>
  <c r="E59" i="6"/>
  <c r="F59" i="6" s="1"/>
  <c r="C60" i="6"/>
  <c r="D60" i="6"/>
  <c r="E60" i="6"/>
  <c r="F60" i="6"/>
  <c r="C15" i="6"/>
  <c r="D15" i="6"/>
  <c r="E15" i="6"/>
  <c r="C16" i="6"/>
  <c r="D16" i="6"/>
  <c r="E16" i="6"/>
  <c r="C17" i="6"/>
  <c r="D17" i="6"/>
  <c r="E17" i="6"/>
  <c r="F17" i="6"/>
  <c r="C18" i="6"/>
  <c r="D18" i="6"/>
  <c r="E18" i="6"/>
  <c r="C19" i="6"/>
  <c r="D19" i="6"/>
  <c r="E19" i="6"/>
  <c r="C20" i="6"/>
  <c r="D20" i="6"/>
  <c r="E20" i="6"/>
  <c r="C21" i="6"/>
  <c r="D21" i="6"/>
  <c r="E21" i="6"/>
  <c r="C22" i="6"/>
  <c r="D22" i="6"/>
  <c r="E22" i="6"/>
  <c r="C23" i="6"/>
  <c r="D23" i="6"/>
  <c r="E23" i="6"/>
  <c r="F23" i="6" s="1"/>
  <c r="C24" i="6"/>
  <c r="D24" i="6"/>
  <c r="E24" i="6"/>
  <c r="C25" i="6"/>
  <c r="D25" i="6"/>
  <c r="E25" i="6"/>
  <c r="C26" i="6"/>
  <c r="D26" i="6"/>
  <c r="E26" i="6"/>
  <c r="C27" i="6"/>
  <c r="D27" i="6"/>
  <c r="E27" i="6"/>
  <c r="C28" i="6"/>
  <c r="D28" i="6"/>
  <c r="E28" i="6"/>
  <c r="C29" i="6"/>
  <c r="D29" i="6"/>
  <c r="E29" i="6"/>
  <c r="C30" i="6"/>
  <c r="D30" i="6"/>
  <c r="E30" i="6"/>
  <c r="C31" i="6"/>
  <c r="D31" i="6"/>
  <c r="F31" i="6" s="1"/>
  <c r="E31" i="6"/>
  <c r="C32" i="6"/>
  <c r="D32" i="6"/>
  <c r="E32" i="6"/>
  <c r="C33" i="6"/>
  <c r="D33" i="6"/>
  <c r="E33" i="6"/>
  <c r="C34" i="6"/>
  <c r="D34" i="6"/>
  <c r="F34" i="6" s="1"/>
  <c r="E34" i="6"/>
  <c r="C35" i="6"/>
  <c r="D35" i="6"/>
  <c r="E35" i="6"/>
  <c r="F35" i="6"/>
  <c r="C36" i="6"/>
  <c r="D36" i="6"/>
  <c r="E36" i="6"/>
  <c r="C37" i="6"/>
  <c r="D37" i="6"/>
  <c r="E37" i="6"/>
  <c r="C38" i="6"/>
  <c r="D38" i="6"/>
  <c r="E38" i="6"/>
  <c r="C39" i="6"/>
  <c r="D39" i="6"/>
  <c r="E39" i="6"/>
  <c r="C40" i="6"/>
  <c r="D40" i="6"/>
  <c r="E40" i="6"/>
  <c r="C41" i="6"/>
  <c r="D41" i="6"/>
  <c r="E41" i="6"/>
  <c r="F41" i="6"/>
  <c r="C42" i="6"/>
  <c r="D42" i="6"/>
  <c r="E42" i="6"/>
  <c r="C43" i="6"/>
  <c r="D43" i="6"/>
  <c r="E43" i="6"/>
  <c r="C44" i="6"/>
  <c r="D44" i="6"/>
  <c r="E44" i="6"/>
  <c r="C45" i="6"/>
  <c r="D45" i="6"/>
  <c r="E45" i="6"/>
  <c r="C46" i="6"/>
  <c r="D46" i="6"/>
  <c r="E46" i="6"/>
  <c r="C47" i="6"/>
  <c r="D47" i="6"/>
  <c r="E47" i="6"/>
  <c r="C48" i="6"/>
  <c r="D48" i="6"/>
  <c r="E48" i="6"/>
  <c r="C49" i="6"/>
  <c r="D49" i="6"/>
  <c r="E49" i="6"/>
  <c r="C50" i="6"/>
  <c r="D50" i="6"/>
  <c r="E50" i="6"/>
  <c r="C51" i="6"/>
  <c r="D51" i="6"/>
  <c r="E51" i="6"/>
  <c r="C52" i="6"/>
  <c r="D52" i="6"/>
  <c r="E52" i="6"/>
  <c r="C53" i="6"/>
  <c r="D53" i="6"/>
  <c r="E53" i="6"/>
  <c r="F53" i="6" s="1"/>
  <c r="C54" i="6"/>
  <c r="D54" i="6"/>
  <c r="E54" i="6"/>
  <c r="C55" i="6"/>
  <c r="D55" i="6"/>
  <c r="E55" i="6"/>
  <c r="C56" i="6"/>
  <c r="D56" i="6"/>
  <c r="E56" i="6"/>
  <c r="C57" i="6"/>
  <c r="D57" i="6"/>
  <c r="E57" i="6"/>
  <c r="C58" i="6"/>
  <c r="D58" i="6"/>
  <c r="E58" i="6"/>
  <c r="D3" i="6"/>
  <c r="D4" i="6"/>
  <c r="D5" i="6"/>
  <c r="D6" i="6"/>
  <c r="D7" i="6"/>
  <c r="D8" i="6"/>
  <c r="D9" i="6"/>
  <c r="D10" i="6"/>
  <c r="D11" i="6"/>
  <c r="D12" i="6"/>
  <c r="D13" i="6"/>
  <c r="D14" i="6"/>
  <c r="D2" i="6"/>
  <c r="E14" i="6"/>
  <c r="C14" i="6"/>
  <c r="E13" i="6"/>
  <c r="C13" i="6"/>
  <c r="M12" i="6"/>
  <c r="H12" i="6"/>
  <c r="K12" i="6" s="1"/>
  <c r="E12" i="6"/>
  <c r="C12" i="6"/>
  <c r="M11" i="6"/>
  <c r="H11" i="6"/>
  <c r="K11" i="6" s="1"/>
  <c r="E11" i="6"/>
  <c r="C11" i="6"/>
  <c r="M10" i="6"/>
  <c r="H10" i="6"/>
  <c r="K10" i="6" s="1"/>
  <c r="E10" i="6"/>
  <c r="C10" i="6"/>
  <c r="M9" i="6"/>
  <c r="K9" i="6"/>
  <c r="H9" i="6"/>
  <c r="E9" i="6"/>
  <c r="C9" i="6"/>
  <c r="M8" i="6"/>
  <c r="H8" i="6"/>
  <c r="K8" i="6" s="1"/>
  <c r="E8" i="6"/>
  <c r="C8" i="6"/>
  <c r="M7" i="6"/>
  <c r="H7" i="6"/>
  <c r="K7" i="6" s="1"/>
  <c r="E7" i="6"/>
  <c r="C7" i="6"/>
  <c r="M6" i="6"/>
  <c r="H6" i="6"/>
  <c r="K6" i="6" s="1"/>
  <c r="E6" i="6"/>
  <c r="C6" i="6"/>
  <c r="M5" i="6"/>
  <c r="H5" i="6"/>
  <c r="K5" i="6" s="1"/>
  <c r="E5" i="6"/>
  <c r="C5" i="6"/>
  <c r="M4" i="6"/>
  <c r="H4" i="6"/>
  <c r="K4" i="6" s="1"/>
  <c r="E4" i="6"/>
  <c r="C4" i="6"/>
  <c r="M3" i="6"/>
  <c r="H3" i="6"/>
  <c r="K3" i="6" s="1"/>
  <c r="E3" i="6"/>
  <c r="C3" i="6"/>
  <c r="M2" i="6"/>
  <c r="K2" i="6"/>
  <c r="N2" i="6" s="1"/>
  <c r="E2" i="6"/>
  <c r="M1" i="6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D28" i="5"/>
  <c r="D24" i="5"/>
  <c r="E23" i="5"/>
  <c r="E22" i="5"/>
  <c r="D27" i="5"/>
  <c r="E27" i="5" s="1"/>
  <c r="D26" i="5"/>
  <c r="E26" i="5" s="1"/>
  <c r="D23" i="5"/>
  <c r="D22" i="5"/>
  <c r="I77" i="5"/>
  <c r="I76" i="5"/>
  <c r="I75" i="5"/>
  <c r="J75" i="5" s="1"/>
  <c r="I74" i="5"/>
  <c r="J74" i="5" s="1"/>
  <c r="I73" i="5"/>
  <c r="J73" i="5" s="1"/>
  <c r="I72" i="5"/>
  <c r="I71" i="5"/>
  <c r="I70" i="5"/>
  <c r="I69" i="5"/>
  <c r="I68" i="5"/>
  <c r="I67" i="5"/>
  <c r="I66" i="5"/>
  <c r="I65" i="5"/>
  <c r="I64" i="5"/>
  <c r="I63" i="5"/>
  <c r="J63" i="5" s="1"/>
  <c r="I62" i="5"/>
  <c r="J62" i="5" s="1"/>
  <c r="I61" i="5"/>
  <c r="J61" i="5" s="1"/>
  <c r="I60" i="5"/>
  <c r="I59" i="5"/>
  <c r="I58" i="5"/>
  <c r="I57" i="5"/>
  <c r="I56" i="5"/>
  <c r="I55" i="5"/>
  <c r="I54" i="5"/>
  <c r="I53" i="5"/>
  <c r="I52" i="5"/>
  <c r="I51" i="5"/>
  <c r="J51" i="5" s="1"/>
  <c r="I50" i="5"/>
  <c r="J50" i="5" s="1"/>
  <c r="I49" i="5"/>
  <c r="J49" i="5" s="1"/>
  <c r="I48" i="5"/>
  <c r="J48" i="5" s="1"/>
  <c r="I47" i="5"/>
  <c r="I46" i="5"/>
  <c r="I45" i="5"/>
  <c r="I44" i="5"/>
  <c r="I43" i="5"/>
  <c r="I42" i="5"/>
  <c r="I41" i="5"/>
  <c r="I40" i="5"/>
  <c r="I39" i="5"/>
  <c r="J39" i="5" s="1"/>
  <c r="I38" i="5"/>
  <c r="J38" i="5" s="1"/>
  <c r="I37" i="5"/>
  <c r="I36" i="5"/>
  <c r="I35" i="5"/>
  <c r="I34" i="5"/>
  <c r="I33" i="5"/>
  <c r="I32" i="5"/>
  <c r="I31" i="5"/>
  <c r="I30" i="5"/>
  <c r="I29" i="5"/>
  <c r="I28" i="5"/>
  <c r="I27" i="5"/>
  <c r="I26" i="5"/>
  <c r="J26" i="5" s="1"/>
  <c r="I25" i="5"/>
  <c r="J25" i="5" s="1"/>
  <c r="I24" i="5"/>
  <c r="I23" i="5"/>
  <c r="I22" i="5"/>
  <c r="I21" i="5"/>
  <c r="I20" i="5"/>
  <c r="I19" i="5"/>
  <c r="I18" i="5"/>
  <c r="I17" i="5"/>
  <c r="I16" i="5"/>
  <c r="I15" i="5"/>
  <c r="I14" i="5"/>
  <c r="J14" i="5" s="1"/>
  <c r="I13" i="5"/>
  <c r="J13" i="5" s="1"/>
  <c r="D12" i="5"/>
  <c r="I12" i="5"/>
  <c r="D11" i="5"/>
  <c r="I11" i="5"/>
  <c r="I10" i="5"/>
  <c r="A9" i="5"/>
  <c r="D9" i="5" s="1"/>
  <c r="I9" i="5"/>
  <c r="D8" i="5"/>
  <c r="I8" i="5"/>
  <c r="A7" i="5"/>
  <c r="J71" i="5" s="1"/>
  <c r="I7" i="5"/>
  <c r="J7" i="5" s="1"/>
  <c r="A6" i="5"/>
  <c r="D6" i="5" s="1"/>
  <c r="I6" i="5"/>
  <c r="A5" i="5"/>
  <c r="I5" i="5"/>
  <c r="A4" i="5"/>
  <c r="D4" i="5" s="1"/>
  <c r="I4" i="5"/>
  <c r="A3" i="5"/>
  <c r="D3" i="5" s="1"/>
  <c r="I3" i="5"/>
  <c r="D2" i="5"/>
  <c r="I2" i="5"/>
  <c r="E77" i="4"/>
  <c r="D77" i="4"/>
  <c r="F77" i="4" s="1"/>
  <c r="E76" i="4"/>
  <c r="D76" i="4"/>
  <c r="E75" i="4"/>
  <c r="D75" i="4"/>
  <c r="F76" i="4" s="1"/>
  <c r="E74" i="4"/>
  <c r="D74" i="4"/>
  <c r="F74" i="4" s="1"/>
  <c r="F73" i="4"/>
  <c r="E73" i="4"/>
  <c r="D73" i="4"/>
  <c r="F72" i="4"/>
  <c r="E72" i="4"/>
  <c r="D72" i="4"/>
  <c r="F71" i="4"/>
  <c r="E71" i="4"/>
  <c r="D71" i="4"/>
  <c r="F70" i="4"/>
  <c r="E70" i="4"/>
  <c r="D70" i="4"/>
  <c r="F69" i="4"/>
  <c r="E69" i="4"/>
  <c r="D69" i="4"/>
  <c r="F68" i="4"/>
  <c r="E68" i="4"/>
  <c r="D68" i="4"/>
  <c r="F67" i="4"/>
  <c r="E67" i="4"/>
  <c r="D67" i="4"/>
  <c r="F66" i="4"/>
  <c r="E66" i="4"/>
  <c r="D66" i="4"/>
  <c r="F65" i="4"/>
  <c r="E65" i="4"/>
  <c r="D65" i="4"/>
  <c r="F64" i="4"/>
  <c r="E64" i="4"/>
  <c r="D64" i="4"/>
  <c r="F63" i="4"/>
  <c r="E63" i="4"/>
  <c r="D63" i="4"/>
  <c r="F62" i="4"/>
  <c r="E62" i="4"/>
  <c r="D62" i="4"/>
  <c r="F61" i="4"/>
  <c r="E61" i="4"/>
  <c r="D61" i="4"/>
  <c r="F60" i="4"/>
  <c r="E60" i="4"/>
  <c r="D60" i="4"/>
  <c r="F59" i="4"/>
  <c r="E59" i="4"/>
  <c r="D59" i="4"/>
  <c r="F58" i="4"/>
  <c r="E58" i="4"/>
  <c r="D58" i="4"/>
  <c r="F57" i="4"/>
  <c r="E57" i="4"/>
  <c r="D57" i="4"/>
  <c r="F56" i="4"/>
  <c r="E56" i="4"/>
  <c r="D56" i="4"/>
  <c r="F55" i="4"/>
  <c r="E55" i="4"/>
  <c r="D55" i="4"/>
  <c r="F54" i="4"/>
  <c r="E54" i="4"/>
  <c r="D54" i="4"/>
  <c r="F53" i="4"/>
  <c r="E53" i="4"/>
  <c r="D53" i="4"/>
  <c r="F52" i="4"/>
  <c r="E52" i="4"/>
  <c r="D52" i="4"/>
  <c r="F51" i="4"/>
  <c r="E51" i="4"/>
  <c r="D51" i="4"/>
  <c r="F50" i="4"/>
  <c r="E50" i="4"/>
  <c r="D50" i="4"/>
  <c r="F49" i="4"/>
  <c r="E49" i="4"/>
  <c r="D49" i="4"/>
  <c r="F48" i="4"/>
  <c r="E48" i="4"/>
  <c r="D48" i="4"/>
  <c r="F47" i="4"/>
  <c r="E47" i="4"/>
  <c r="D47" i="4"/>
  <c r="F46" i="4"/>
  <c r="E46" i="4"/>
  <c r="D46" i="4"/>
  <c r="F45" i="4"/>
  <c r="E45" i="4"/>
  <c r="D45" i="4"/>
  <c r="F44" i="4"/>
  <c r="E44" i="4"/>
  <c r="D44" i="4"/>
  <c r="F43" i="4"/>
  <c r="E43" i="4"/>
  <c r="D43" i="4"/>
  <c r="F42" i="4"/>
  <c r="E42" i="4"/>
  <c r="D42" i="4"/>
  <c r="F41" i="4"/>
  <c r="E41" i="4"/>
  <c r="D41" i="4"/>
  <c r="F40" i="4"/>
  <c r="E40" i="4"/>
  <c r="D40" i="4"/>
  <c r="F39" i="4"/>
  <c r="E39" i="4"/>
  <c r="D39" i="4"/>
  <c r="F38" i="4"/>
  <c r="E38" i="4"/>
  <c r="D38" i="4"/>
  <c r="F37" i="4"/>
  <c r="E37" i="4"/>
  <c r="D37" i="4"/>
  <c r="F36" i="4"/>
  <c r="E36" i="4"/>
  <c r="D36" i="4"/>
  <c r="F35" i="4"/>
  <c r="E35" i="4"/>
  <c r="D35" i="4"/>
  <c r="F34" i="4"/>
  <c r="E34" i="4"/>
  <c r="D34" i="4"/>
  <c r="F33" i="4"/>
  <c r="E33" i="4"/>
  <c r="D33" i="4"/>
  <c r="F32" i="4"/>
  <c r="E32" i="4"/>
  <c r="D32" i="4"/>
  <c r="F31" i="4"/>
  <c r="E31" i="4"/>
  <c r="D31" i="4"/>
  <c r="F30" i="4"/>
  <c r="E30" i="4"/>
  <c r="D30" i="4"/>
  <c r="F29" i="4"/>
  <c r="E29" i="4"/>
  <c r="D29" i="4"/>
  <c r="F28" i="4"/>
  <c r="E28" i="4"/>
  <c r="D28" i="4"/>
  <c r="F27" i="4"/>
  <c r="E27" i="4"/>
  <c r="D27" i="4"/>
  <c r="F26" i="4"/>
  <c r="E26" i="4"/>
  <c r="D26" i="4"/>
  <c r="F25" i="4"/>
  <c r="E25" i="4"/>
  <c r="D25" i="4"/>
  <c r="F24" i="4"/>
  <c r="E24" i="4"/>
  <c r="D24" i="4"/>
  <c r="F23" i="4"/>
  <c r="E23" i="4"/>
  <c r="D23" i="4"/>
  <c r="F22" i="4"/>
  <c r="E22" i="4"/>
  <c r="D22" i="4"/>
  <c r="F21" i="4"/>
  <c r="E21" i="4"/>
  <c r="D21" i="4"/>
  <c r="F20" i="4"/>
  <c r="E20" i="4"/>
  <c r="D20" i="4"/>
  <c r="F19" i="4"/>
  <c r="E19" i="4"/>
  <c r="D19" i="4"/>
  <c r="F18" i="4"/>
  <c r="E18" i="4"/>
  <c r="D18" i="4"/>
  <c r="F17" i="4"/>
  <c r="E17" i="4"/>
  <c r="D17" i="4"/>
  <c r="F16" i="4"/>
  <c r="E16" i="4"/>
  <c r="D16" i="4"/>
  <c r="F15" i="4"/>
  <c r="E15" i="4"/>
  <c r="D15" i="4"/>
  <c r="F14" i="4"/>
  <c r="E14" i="4"/>
  <c r="D14" i="4"/>
  <c r="F13" i="4"/>
  <c r="E13" i="4"/>
  <c r="D13" i="4"/>
  <c r="M12" i="4"/>
  <c r="H12" i="4"/>
  <c r="K12" i="4" s="1"/>
  <c r="E12" i="4"/>
  <c r="D12" i="4"/>
  <c r="F12" i="4" s="1"/>
  <c r="M11" i="4"/>
  <c r="K11" i="4"/>
  <c r="H11" i="4"/>
  <c r="E11" i="4"/>
  <c r="D11" i="4"/>
  <c r="F11" i="4" s="1"/>
  <c r="M10" i="4"/>
  <c r="K10" i="4"/>
  <c r="H10" i="4"/>
  <c r="E10" i="4"/>
  <c r="D10" i="4"/>
  <c r="M9" i="4"/>
  <c r="H9" i="4"/>
  <c r="K9" i="4" s="1"/>
  <c r="E9" i="4"/>
  <c r="D9" i="4"/>
  <c r="F9" i="4" s="1"/>
  <c r="M8" i="4"/>
  <c r="H8" i="4"/>
  <c r="K8" i="4" s="1"/>
  <c r="E8" i="4"/>
  <c r="F8" i="4" s="1"/>
  <c r="D8" i="4"/>
  <c r="M7" i="4"/>
  <c r="H7" i="4"/>
  <c r="K7" i="4" s="1"/>
  <c r="E7" i="4"/>
  <c r="D7" i="4"/>
  <c r="M6" i="4"/>
  <c r="H6" i="4"/>
  <c r="K6" i="4" s="1"/>
  <c r="E6" i="4"/>
  <c r="D6" i="4"/>
  <c r="F6" i="4" s="1"/>
  <c r="M5" i="4"/>
  <c r="K5" i="4"/>
  <c r="H5" i="4"/>
  <c r="E5" i="4"/>
  <c r="D5" i="4"/>
  <c r="F5" i="4" s="1"/>
  <c r="M4" i="4"/>
  <c r="H4" i="4"/>
  <c r="K4" i="4" s="1"/>
  <c r="E4" i="4"/>
  <c r="D4" i="4"/>
  <c r="M3" i="4"/>
  <c r="H3" i="4"/>
  <c r="K3" i="4" s="1"/>
  <c r="E3" i="4"/>
  <c r="D3" i="4"/>
  <c r="F4" i="4" s="1"/>
  <c r="C3" i="4"/>
  <c r="N2" i="4"/>
  <c r="N3" i="4" s="1"/>
  <c r="M2" i="4"/>
  <c r="K2" i="4"/>
  <c r="E2" i="4"/>
  <c r="D2" i="4"/>
  <c r="M1" i="4"/>
  <c r="O3" i="2"/>
  <c r="O4" i="2"/>
  <c r="O5" i="2"/>
  <c r="O6" i="2"/>
  <c r="O7" i="2"/>
  <c r="O8" i="2"/>
  <c r="O9" i="2"/>
  <c r="O10" i="2"/>
  <c r="O11" i="2"/>
  <c r="O12" i="2"/>
  <c r="O2" i="2"/>
  <c r="O1" i="2"/>
  <c r="M2" i="2"/>
  <c r="P2" i="2" s="1"/>
  <c r="P3" i="2" s="1"/>
  <c r="M3" i="2"/>
  <c r="M6" i="2"/>
  <c r="M7" i="2"/>
  <c r="M11" i="2"/>
  <c r="M12" i="2"/>
  <c r="J4" i="2"/>
  <c r="M4" i="2" s="1"/>
  <c r="J5" i="2"/>
  <c r="M5" i="2" s="1"/>
  <c r="J6" i="2"/>
  <c r="J7" i="2"/>
  <c r="J8" i="2"/>
  <c r="M8" i="2" s="1"/>
  <c r="J9" i="2"/>
  <c r="M9" i="2" s="1"/>
  <c r="J10" i="2"/>
  <c r="M10" i="2" s="1"/>
  <c r="J11" i="2"/>
  <c r="J12" i="2"/>
  <c r="J3" i="2"/>
  <c r="C3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2" i="2"/>
  <c r="D3" i="2"/>
  <c r="D4" i="2"/>
  <c r="D5" i="2"/>
  <c r="F5" i="2" s="1"/>
  <c r="D6" i="2"/>
  <c r="F6" i="2" s="1"/>
  <c r="D7" i="2"/>
  <c r="D8" i="2"/>
  <c r="D9" i="2"/>
  <c r="D10" i="2"/>
  <c r="D11" i="2"/>
  <c r="D12" i="2"/>
  <c r="D13" i="2"/>
  <c r="D14" i="2"/>
  <c r="D15" i="2"/>
  <c r="D16" i="2"/>
  <c r="F16" i="2" s="1"/>
  <c r="D17" i="2"/>
  <c r="F17" i="2" s="1"/>
  <c r="D18" i="2"/>
  <c r="F18" i="2" s="1"/>
  <c r="D19" i="2"/>
  <c r="D20" i="2"/>
  <c r="D21" i="2"/>
  <c r="D22" i="2"/>
  <c r="D23" i="2"/>
  <c r="D24" i="2"/>
  <c r="D25" i="2"/>
  <c r="D26" i="2"/>
  <c r="D27" i="2"/>
  <c r="D28" i="2"/>
  <c r="F28" i="2" s="1"/>
  <c r="D29" i="2"/>
  <c r="F29" i="2" s="1"/>
  <c r="D30" i="2"/>
  <c r="F30" i="2" s="1"/>
  <c r="D31" i="2"/>
  <c r="D32" i="2"/>
  <c r="D33" i="2"/>
  <c r="D34" i="2"/>
  <c r="D35" i="2"/>
  <c r="D36" i="2"/>
  <c r="D37" i="2"/>
  <c r="D38" i="2"/>
  <c r="D39" i="2"/>
  <c r="D40" i="2"/>
  <c r="F40" i="2" s="1"/>
  <c r="D41" i="2"/>
  <c r="F41" i="2" s="1"/>
  <c r="D42" i="2"/>
  <c r="F42" i="2" s="1"/>
  <c r="D43" i="2"/>
  <c r="D44" i="2"/>
  <c r="D45" i="2"/>
  <c r="D46" i="2"/>
  <c r="D47" i="2"/>
  <c r="D48" i="2"/>
  <c r="D49" i="2"/>
  <c r="D50" i="2"/>
  <c r="D51" i="2"/>
  <c r="D52" i="2"/>
  <c r="D53" i="2"/>
  <c r="F53" i="2" s="1"/>
  <c r="D54" i="2"/>
  <c r="F54" i="2" s="1"/>
  <c r="D55" i="2"/>
  <c r="D56" i="2"/>
  <c r="D57" i="2"/>
  <c r="D58" i="2"/>
  <c r="D59" i="2"/>
  <c r="D60" i="2"/>
  <c r="D61" i="2"/>
  <c r="D62" i="2"/>
  <c r="D63" i="2"/>
  <c r="D64" i="2"/>
  <c r="F64" i="2" s="1"/>
  <c r="D65" i="2"/>
  <c r="D66" i="2"/>
  <c r="F66" i="2" s="1"/>
  <c r="D67" i="2"/>
  <c r="D68" i="2"/>
  <c r="D69" i="2"/>
  <c r="D70" i="2"/>
  <c r="D71" i="2"/>
  <c r="D72" i="2"/>
  <c r="D73" i="2"/>
  <c r="D74" i="2"/>
  <c r="D75" i="2"/>
  <c r="D76" i="2"/>
  <c r="F76" i="2" s="1"/>
  <c r="D77" i="2"/>
  <c r="F77" i="2" s="1"/>
  <c r="D2" i="2"/>
  <c r="G38" i="2" l="1"/>
  <c r="G71" i="2"/>
  <c r="G59" i="2"/>
  <c r="G35" i="2"/>
  <c r="G66" i="2"/>
  <c r="G54" i="2"/>
  <c r="G42" i="2"/>
  <c r="G30" i="2"/>
  <c r="G18" i="2"/>
  <c r="G6" i="2"/>
  <c r="G14" i="2"/>
  <c r="G62" i="2"/>
  <c r="H17" i="2"/>
  <c r="G70" i="2"/>
  <c r="G58" i="2"/>
  <c r="G46" i="2"/>
  <c r="G34" i="2"/>
  <c r="G22" i="2"/>
  <c r="P4" i="2"/>
  <c r="P5" i="2" s="1"/>
  <c r="P6" i="2" s="1"/>
  <c r="P7" i="2" s="1"/>
  <c r="P8" i="2" s="1"/>
  <c r="P9" i="2" s="1"/>
  <c r="P10" i="2" s="1"/>
  <c r="P11" i="2" s="1"/>
  <c r="P12" i="2" s="1"/>
  <c r="H40" i="2"/>
  <c r="H28" i="2"/>
  <c r="G68" i="2"/>
  <c r="G44" i="2"/>
  <c r="H27" i="2"/>
  <c r="H15" i="2"/>
  <c r="F75" i="2"/>
  <c r="F63" i="2"/>
  <c r="F51" i="2"/>
  <c r="G50" i="2" s="1"/>
  <c r="F39" i="2"/>
  <c r="F27" i="2"/>
  <c r="F15" i="2"/>
  <c r="G9" i="2"/>
  <c r="G27" i="2"/>
  <c r="G39" i="2"/>
  <c r="H39" i="2" s="1"/>
  <c r="G45" i="2"/>
  <c r="G57" i="2"/>
  <c r="G63" i="2"/>
  <c r="G69" i="2"/>
  <c r="G75" i="2"/>
  <c r="G4" i="2"/>
  <c r="G40" i="2"/>
  <c r="G52" i="2"/>
  <c r="G76" i="2"/>
  <c r="H76" i="2"/>
  <c r="G29" i="2"/>
  <c r="H29" i="2" s="1"/>
  <c r="G41" i="2"/>
  <c r="H41" i="2" s="1"/>
  <c r="G53" i="2"/>
  <c r="H53" i="2" s="1"/>
  <c r="G65" i="2"/>
  <c r="G16" i="2"/>
  <c r="H16" i="2" s="1"/>
  <c r="G5" i="2"/>
  <c r="H5" i="2" s="1"/>
  <c r="G17" i="2"/>
  <c r="G28" i="2"/>
  <c r="G77" i="2"/>
  <c r="H77" i="2" s="1"/>
  <c r="G78" i="8"/>
  <c r="G85" i="8"/>
  <c r="G88" i="8"/>
  <c r="G80" i="8"/>
  <c r="G96" i="8"/>
  <c r="F80" i="8"/>
  <c r="G79" i="8" s="1"/>
  <c r="F82" i="8"/>
  <c r="F77" i="8"/>
  <c r="F86" i="8"/>
  <c r="P3" i="8"/>
  <c r="P4" i="8" s="1"/>
  <c r="P5" i="8" s="1"/>
  <c r="P6" i="8" s="1"/>
  <c r="P7" i="8" s="1"/>
  <c r="P8" i="8" s="1"/>
  <c r="P9" i="8" s="1"/>
  <c r="P10" i="8" s="1"/>
  <c r="P11" i="8" s="1"/>
  <c r="P12" i="8" s="1"/>
  <c r="F84" i="8"/>
  <c r="G83" i="8" s="1"/>
  <c r="F88" i="8"/>
  <c r="G87" i="8" s="1"/>
  <c r="F81" i="8"/>
  <c r="F89" i="8"/>
  <c r="F91" i="8"/>
  <c r="F83" i="8"/>
  <c r="F76" i="8"/>
  <c r="F85" i="8"/>
  <c r="G84" i="8" s="1"/>
  <c r="F94" i="8"/>
  <c r="G93" i="8" s="1"/>
  <c r="F79" i="8"/>
  <c r="F87" i="8"/>
  <c r="G86" i="8" s="1"/>
  <c r="F90" i="8"/>
  <c r="G89" i="8" s="1"/>
  <c r="F93" i="8"/>
  <c r="F7" i="8"/>
  <c r="F15" i="8"/>
  <c r="F19" i="8"/>
  <c r="F23" i="8"/>
  <c r="F27" i="8"/>
  <c r="F31" i="8"/>
  <c r="F35" i="8"/>
  <c r="F39" i="8"/>
  <c r="F43" i="8"/>
  <c r="F47" i="8"/>
  <c r="F51" i="8"/>
  <c r="F55" i="8"/>
  <c r="F59" i="8"/>
  <c r="F63" i="8"/>
  <c r="F67" i="8"/>
  <c r="F71" i="8"/>
  <c r="F96" i="8"/>
  <c r="G95" i="8" s="1"/>
  <c r="F12" i="8"/>
  <c r="F92" i="8"/>
  <c r="F75" i="8"/>
  <c r="F95" i="8"/>
  <c r="F78" i="8"/>
  <c r="G77" i="8" s="1"/>
  <c r="H77" i="8" s="1"/>
  <c r="F5" i="8"/>
  <c r="F20" i="8"/>
  <c r="F36" i="8"/>
  <c r="F56" i="8"/>
  <c r="F60" i="8"/>
  <c r="F8" i="8"/>
  <c r="F21" i="8"/>
  <c r="F37" i="8"/>
  <c r="F65" i="8"/>
  <c r="F10" i="8"/>
  <c r="F24" i="8"/>
  <c r="F44" i="8"/>
  <c r="F72" i="8"/>
  <c r="F13" i="8"/>
  <c r="F33" i="8"/>
  <c r="F49" i="8"/>
  <c r="F69" i="8"/>
  <c r="F6" i="8"/>
  <c r="F11" i="8"/>
  <c r="F28" i="8"/>
  <c r="F48" i="8"/>
  <c r="F68" i="8"/>
  <c r="F17" i="8"/>
  <c r="F29" i="8"/>
  <c r="F45" i="8"/>
  <c r="F53" i="8"/>
  <c r="F73" i="8"/>
  <c r="F4" i="8"/>
  <c r="F14" i="8"/>
  <c r="F18" i="8"/>
  <c r="F22" i="8"/>
  <c r="F26" i="8"/>
  <c r="F30" i="8"/>
  <c r="F34" i="8"/>
  <c r="F38" i="8"/>
  <c r="F42" i="8"/>
  <c r="F46" i="8"/>
  <c r="F50" i="8"/>
  <c r="F54" i="8"/>
  <c r="F58" i="8"/>
  <c r="F62" i="8"/>
  <c r="F66" i="8"/>
  <c r="F70" i="8"/>
  <c r="F74" i="8"/>
  <c r="F16" i="8"/>
  <c r="F32" i="8"/>
  <c r="F40" i="8"/>
  <c r="F52" i="8"/>
  <c r="F64" i="8"/>
  <c r="F3" i="8"/>
  <c r="F25" i="8"/>
  <c r="F41" i="8"/>
  <c r="F57" i="8"/>
  <c r="F61" i="8"/>
  <c r="F9" i="8"/>
  <c r="N3" i="6"/>
  <c r="N4" i="6" s="1"/>
  <c r="N5" i="6" s="1"/>
  <c r="N6" i="6" s="1"/>
  <c r="N7" i="6" s="1"/>
  <c r="N8" i="6" s="1"/>
  <c r="N9" i="6" s="1"/>
  <c r="N10" i="6" s="1"/>
  <c r="N11" i="6" s="1"/>
  <c r="N12" i="6" s="1"/>
  <c r="F68" i="6"/>
  <c r="F67" i="6"/>
  <c r="F65" i="6"/>
  <c r="F64" i="6"/>
  <c r="F62" i="6"/>
  <c r="F42" i="6"/>
  <c r="F56" i="6"/>
  <c r="F25" i="6"/>
  <c r="F48" i="6"/>
  <c r="F43" i="6"/>
  <c r="F20" i="6"/>
  <c r="F16" i="6"/>
  <c r="F52" i="6"/>
  <c r="F49" i="6"/>
  <c r="F33" i="6"/>
  <c r="F51" i="6"/>
  <c r="F46" i="6"/>
  <c r="F24" i="6"/>
  <c r="F30" i="6"/>
  <c r="F28" i="6"/>
  <c r="F38" i="6"/>
  <c r="F50" i="6"/>
  <c r="F32" i="6"/>
  <c r="F54" i="6"/>
  <c r="F36" i="6"/>
  <c r="F18" i="6"/>
  <c r="F21" i="6"/>
  <c r="F44" i="6"/>
  <c r="F26" i="6"/>
  <c r="F55" i="6"/>
  <c r="F37" i="6"/>
  <c r="F19" i="6"/>
  <c r="F15" i="6"/>
  <c r="F39" i="6"/>
  <c r="F47" i="6"/>
  <c r="F45" i="6"/>
  <c r="F29" i="6"/>
  <c r="F27" i="6"/>
  <c r="F57" i="6"/>
  <c r="F58" i="6"/>
  <c r="F40" i="6"/>
  <c r="F22" i="6"/>
  <c r="F14" i="6"/>
  <c r="F8" i="6"/>
  <c r="F12" i="6"/>
  <c r="F4" i="6"/>
  <c r="F3" i="6"/>
  <c r="F2" i="6" s="1"/>
  <c r="F6" i="6"/>
  <c r="F7" i="6"/>
  <c r="F11" i="6"/>
  <c r="F5" i="6"/>
  <c r="F9" i="6"/>
  <c r="F10" i="6"/>
  <c r="F13" i="6"/>
  <c r="J11" i="5"/>
  <c r="J33" i="5"/>
  <c r="J57" i="5"/>
  <c r="J27" i="5"/>
  <c r="J12" i="5"/>
  <c r="J23" i="5"/>
  <c r="J47" i="5"/>
  <c r="J59" i="5"/>
  <c r="J21" i="5"/>
  <c r="J45" i="5"/>
  <c r="J69" i="5"/>
  <c r="J24" i="5"/>
  <c r="J60" i="5"/>
  <c r="J72" i="5"/>
  <c r="D5" i="5"/>
  <c r="J46" i="5"/>
  <c r="J16" i="5"/>
  <c r="J52" i="5"/>
  <c r="J29" i="5"/>
  <c r="J17" i="5"/>
  <c r="J53" i="5"/>
  <c r="J65" i="5"/>
  <c r="J77" i="5"/>
  <c r="J18" i="5"/>
  <c r="J30" i="5"/>
  <c r="J42" i="5"/>
  <c r="J54" i="5"/>
  <c r="J66" i="5"/>
  <c r="J8" i="5"/>
  <c r="J28" i="5"/>
  <c r="J40" i="5"/>
  <c r="J64" i="5"/>
  <c r="J41" i="5"/>
  <c r="J19" i="5"/>
  <c r="J31" i="5"/>
  <c r="J43" i="5"/>
  <c r="J55" i="5"/>
  <c r="J67" i="5"/>
  <c r="J76" i="5"/>
  <c r="J10" i="5"/>
  <c r="J20" i="5"/>
  <c r="J32" i="5"/>
  <c r="J44" i="5"/>
  <c r="J56" i="5"/>
  <c r="J68" i="5"/>
  <c r="J36" i="5"/>
  <c r="J35" i="5"/>
  <c r="J3" i="5"/>
  <c r="G3" i="5" s="1"/>
  <c r="H3" i="5" s="1"/>
  <c r="J22" i="5"/>
  <c r="J70" i="5"/>
  <c r="J9" i="5"/>
  <c r="J37" i="5"/>
  <c r="J34" i="5"/>
  <c r="J58" i="5"/>
  <c r="D10" i="5"/>
  <c r="D7" i="5"/>
  <c r="J5" i="5"/>
  <c r="J2" i="5"/>
  <c r="J6" i="5"/>
  <c r="J4" i="5"/>
  <c r="J15" i="5"/>
  <c r="N4" i="4"/>
  <c r="N5" i="4" s="1"/>
  <c r="N6" i="4" s="1"/>
  <c r="N7" i="4" s="1"/>
  <c r="N8" i="4" s="1"/>
  <c r="N9" i="4" s="1"/>
  <c r="N10" i="4" s="1"/>
  <c r="N11" i="4" s="1"/>
  <c r="N12" i="4" s="1"/>
  <c r="F10" i="4"/>
  <c r="F75" i="4"/>
  <c r="F7" i="4"/>
  <c r="F3" i="4"/>
  <c r="F2" i="4" s="1"/>
  <c r="F34" i="2"/>
  <c r="G33" i="2" s="1"/>
  <c r="F26" i="2"/>
  <c r="F70" i="2"/>
  <c r="F22" i="2"/>
  <c r="F38" i="2"/>
  <c r="F46" i="2"/>
  <c r="F10" i="2"/>
  <c r="F65" i="2"/>
  <c r="G64" i="2" s="1"/>
  <c r="F74" i="2"/>
  <c r="F62" i="2"/>
  <c r="F50" i="2"/>
  <c r="F13" i="2"/>
  <c r="G12" i="2" s="1"/>
  <c r="F58" i="2"/>
  <c r="F14" i="2"/>
  <c r="F4" i="2"/>
  <c r="F3" i="2"/>
  <c r="F68" i="2"/>
  <c r="F56" i="2"/>
  <c r="F45" i="2"/>
  <c r="F32" i="2"/>
  <c r="F21" i="2"/>
  <c r="F8" i="2"/>
  <c r="F72" i="2"/>
  <c r="F60" i="2"/>
  <c r="F48" i="2"/>
  <c r="G47" i="2" s="1"/>
  <c r="F36" i="2"/>
  <c r="F24" i="2"/>
  <c r="F12" i="2"/>
  <c r="G11" i="2" s="1"/>
  <c r="F67" i="2"/>
  <c r="F55" i="2"/>
  <c r="F43" i="2"/>
  <c r="F31" i="2"/>
  <c r="F19" i="2"/>
  <c r="F7" i="2"/>
  <c r="F71" i="2"/>
  <c r="F59" i="2"/>
  <c r="F47" i="2"/>
  <c r="F35" i="2"/>
  <c r="F23" i="2"/>
  <c r="F11" i="2"/>
  <c r="F69" i="2"/>
  <c r="F33" i="2"/>
  <c r="F9" i="2"/>
  <c r="F44" i="2"/>
  <c r="F20" i="2"/>
  <c r="F73" i="2"/>
  <c r="G72" i="2" s="1"/>
  <c r="F61" i="2"/>
  <c r="F49" i="2"/>
  <c r="G48" i="2" s="1"/>
  <c r="F37" i="2"/>
  <c r="G36" i="2" s="1"/>
  <c r="F25" i="2"/>
  <c r="G24" i="2" s="1"/>
  <c r="F57" i="2"/>
  <c r="F52" i="2"/>
  <c r="H52" i="2" s="1"/>
  <c r="H46" i="2" l="1"/>
  <c r="F2" i="2"/>
  <c r="H2" i="2"/>
  <c r="H69" i="2"/>
  <c r="H62" i="2"/>
  <c r="G13" i="2"/>
  <c r="H13" i="2" s="1"/>
  <c r="H59" i="2"/>
  <c r="H11" i="2"/>
  <c r="H23" i="2"/>
  <c r="H34" i="2"/>
  <c r="H47" i="2"/>
  <c r="H58" i="2"/>
  <c r="G61" i="2"/>
  <c r="H61" i="2"/>
  <c r="G19" i="2"/>
  <c r="H19" i="2" s="1"/>
  <c r="H18" i="2"/>
  <c r="H20" i="2"/>
  <c r="G73" i="2"/>
  <c r="H73" i="2"/>
  <c r="G21" i="2"/>
  <c r="H21" i="2" s="1"/>
  <c r="H63" i="2"/>
  <c r="G3" i="2"/>
  <c r="H3" i="2" s="1"/>
  <c r="H35" i="2"/>
  <c r="G56" i="2"/>
  <c r="H56" i="2" s="1"/>
  <c r="G25" i="2"/>
  <c r="H25" i="2"/>
  <c r="H36" i="2"/>
  <c r="H4" i="2"/>
  <c r="H12" i="2"/>
  <c r="H71" i="2"/>
  <c r="H6" i="2"/>
  <c r="G51" i="2"/>
  <c r="H51" i="2" s="1"/>
  <c r="G31" i="2"/>
  <c r="H31" i="2"/>
  <c r="H75" i="2"/>
  <c r="H8" i="2"/>
  <c r="H42" i="2"/>
  <c r="H44" i="2"/>
  <c r="H9" i="2"/>
  <c r="H14" i="2"/>
  <c r="G8" i="2"/>
  <c r="H33" i="2"/>
  <c r="G49" i="2"/>
  <c r="H49" i="2"/>
  <c r="G7" i="2"/>
  <c r="H7" i="2"/>
  <c r="H30" i="2"/>
  <c r="G55" i="2"/>
  <c r="H55" i="2"/>
  <c r="G74" i="2"/>
  <c r="H74" i="2" s="1"/>
  <c r="H10" i="2"/>
  <c r="H50" i="2"/>
  <c r="H22" i="2"/>
  <c r="H24" i="2"/>
  <c r="H57" i="2"/>
  <c r="H48" i="2"/>
  <c r="H70" i="2"/>
  <c r="H72" i="2"/>
  <c r="G43" i="2"/>
  <c r="H43" i="2"/>
  <c r="H64" i="2"/>
  <c r="G60" i="2"/>
  <c r="H60" i="2" s="1"/>
  <c r="H54" i="2"/>
  <c r="H45" i="2"/>
  <c r="G20" i="2"/>
  <c r="H65" i="2"/>
  <c r="H68" i="2"/>
  <c r="H66" i="2"/>
  <c r="G67" i="2"/>
  <c r="H67" i="2"/>
  <c r="G37" i="2"/>
  <c r="H37" i="2"/>
  <c r="H38" i="2"/>
  <c r="G32" i="2"/>
  <c r="H32" i="2" s="1"/>
  <c r="G10" i="2"/>
  <c r="G2" i="2"/>
  <c r="G23" i="2"/>
  <c r="G26" i="2"/>
  <c r="H26" i="2" s="1"/>
  <c r="H96" i="8"/>
  <c r="H83" i="8"/>
  <c r="G74" i="8"/>
  <c r="H74" i="8" s="1"/>
  <c r="G76" i="8"/>
  <c r="H76" i="8"/>
  <c r="G75" i="8"/>
  <c r="H75" i="8" s="1"/>
  <c r="H80" i="8"/>
  <c r="H85" i="8"/>
  <c r="G90" i="8"/>
  <c r="H90" i="8" s="1"/>
  <c r="H84" i="8"/>
  <c r="G94" i="8"/>
  <c r="H94" i="8" s="1"/>
  <c r="G92" i="8"/>
  <c r="H92" i="8" s="1"/>
  <c r="H95" i="8"/>
  <c r="H88" i="8"/>
  <c r="H87" i="8"/>
  <c r="H89" i="8"/>
  <c r="H86" i="8"/>
  <c r="H78" i="8"/>
  <c r="H93" i="8"/>
  <c r="G81" i="8"/>
  <c r="H81" i="8" s="1"/>
  <c r="H79" i="8"/>
  <c r="G82" i="8"/>
  <c r="H82" i="8" s="1"/>
  <c r="G91" i="8"/>
  <c r="H91" i="8" s="1"/>
  <c r="G2" i="8"/>
  <c r="F2" i="8"/>
  <c r="G4" i="5"/>
  <c r="H4" i="5" s="1"/>
  <c r="G5" i="5"/>
  <c r="H5" i="5" s="1"/>
  <c r="G6" i="5" l="1"/>
  <c r="H6" i="5" s="1"/>
  <c r="G7" i="5" l="1"/>
  <c r="H7" i="5" s="1"/>
  <c r="G8" i="5" l="1"/>
  <c r="H8" i="5" s="1"/>
  <c r="G9" i="5" l="1"/>
  <c r="H9" i="5" s="1"/>
  <c r="G10" i="5" l="1"/>
  <c r="H10" i="5" s="1"/>
  <c r="G11" i="5" l="1"/>
  <c r="H11" i="5" s="1"/>
  <c r="G12" i="5" l="1"/>
  <c r="H12" i="5" s="1"/>
  <c r="G13" i="5" l="1"/>
  <c r="H13" i="5" s="1"/>
  <c r="G14" i="5" l="1"/>
  <c r="H14" i="5" s="1"/>
  <c r="G15" i="5" l="1"/>
  <c r="H15" i="5" s="1"/>
  <c r="G16" i="5" l="1"/>
  <c r="H16" i="5" s="1"/>
  <c r="G17" i="5" l="1"/>
  <c r="H17" i="5" s="1"/>
  <c r="G18" i="5" l="1"/>
  <c r="H18" i="5" s="1"/>
  <c r="G19" i="5" l="1"/>
  <c r="H19" i="5" s="1"/>
  <c r="G20" i="5" l="1"/>
  <c r="H20" i="5" s="1"/>
  <c r="G21" i="5" l="1"/>
  <c r="H21" i="5" s="1"/>
  <c r="G22" i="5" l="1"/>
  <c r="H22" i="5" s="1"/>
  <c r="G23" i="5" l="1"/>
  <c r="H23" i="5" s="1"/>
  <c r="G24" i="5" l="1"/>
  <c r="H24" i="5" s="1"/>
  <c r="G25" i="5" l="1"/>
  <c r="H25" i="5" s="1"/>
  <c r="G26" i="5" l="1"/>
  <c r="H26" i="5" s="1"/>
  <c r="G27" i="5" l="1"/>
  <c r="H27" i="5" s="1"/>
  <c r="G28" i="5" l="1"/>
  <c r="H28" i="5" s="1"/>
  <c r="G29" i="5" l="1"/>
  <c r="H29" i="5" s="1"/>
  <c r="G30" i="5" l="1"/>
  <c r="H30" i="5" s="1"/>
  <c r="G31" i="5" l="1"/>
  <c r="H31" i="5" s="1"/>
  <c r="G32" i="5" l="1"/>
  <c r="H32" i="5" s="1"/>
  <c r="G33" i="5" l="1"/>
  <c r="H33" i="5" s="1"/>
  <c r="G34" i="5" l="1"/>
  <c r="H34" i="5" s="1"/>
  <c r="G35" i="5" l="1"/>
  <c r="H35" i="5" s="1"/>
  <c r="G36" i="5" l="1"/>
  <c r="H36" i="5" s="1"/>
  <c r="G37" i="5" l="1"/>
  <c r="H37" i="5" s="1"/>
  <c r="G38" i="5" l="1"/>
  <c r="H38" i="5" s="1"/>
  <c r="G39" i="5" l="1"/>
  <c r="H39" i="5" s="1"/>
  <c r="G40" i="5" l="1"/>
  <c r="H40" i="5" s="1"/>
  <c r="G41" i="5" l="1"/>
  <c r="H41" i="5" s="1"/>
  <c r="G42" i="5" l="1"/>
  <c r="H42" i="5" s="1"/>
  <c r="G43" i="5" l="1"/>
  <c r="H43" i="5" s="1"/>
  <c r="G44" i="5" l="1"/>
  <c r="H44" i="5" s="1"/>
  <c r="G45" i="5" l="1"/>
  <c r="H45" i="5" s="1"/>
  <c r="G46" i="5" l="1"/>
  <c r="H46" i="5" s="1"/>
  <c r="G47" i="5" l="1"/>
  <c r="H47" i="5" s="1"/>
  <c r="G48" i="5" l="1"/>
  <c r="H48" i="5" s="1"/>
  <c r="G49" i="5" l="1"/>
  <c r="H49" i="5" s="1"/>
  <c r="G50" i="5" l="1"/>
  <c r="H50" i="5" s="1"/>
  <c r="G51" i="5" l="1"/>
  <c r="H51" i="5" s="1"/>
  <c r="G52" i="5" l="1"/>
  <c r="H52" i="5" s="1"/>
  <c r="G53" i="5" l="1"/>
  <c r="H53" i="5" s="1"/>
  <c r="G54" i="5" l="1"/>
  <c r="H54" i="5" s="1"/>
  <c r="G55" i="5" l="1"/>
  <c r="H55" i="5" s="1"/>
  <c r="G56" i="5" l="1"/>
  <c r="H56" i="5" s="1"/>
  <c r="G57" i="5" l="1"/>
  <c r="H57" i="5" s="1"/>
  <c r="G58" i="5" l="1"/>
  <c r="H58" i="5" s="1"/>
  <c r="G59" i="5" l="1"/>
  <c r="H59" i="5" s="1"/>
  <c r="G60" i="5" l="1"/>
  <c r="H60" i="5" s="1"/>
  <c r="G61" i="5" l="1"/>
  <c r="H61" i="5" s="1"/>
  <c r="G62" i="5" l="1"/>
  <c r="H62" i="5" s="1"/>
  <c r="G63" i="5" l="1"/>
  <c r="H63" i="5" s="1"/>
  <c r="G64" i="5" l="1"/>
  <c r="H64" i="5" s="1"/>
  <c r="G65" i="5" l="1"/>
  <c r="H65" i="5" s="1"/>
  <c r="G66" i="5" l="1"/>
  <c r="H66" i="5" s="1"/>
  <c r="G67" i="5" l="1"/>
  <c r="H67" i="5" s="1"/>
  <c r="G68" i="5" l="1"/>
  <c r="H68" i="5" s="1"/>
  <c r="G69" i="5" l="1"/>
  <c r="H69" i="5" s="1"/>
  <c r="G70" i="5" l="1"/>
  <c r="H70" i="5" s="1"/>
  <c r="G71" i="5" l="1"/>
  <c r="H71" i="5" s="1"/>
  <c r="G72" i="5" l="1"/>
  <c r="H72" i="5" s="1"/>
  <c r="G73" i="5" l="1"/>
  <c r="H73" i="5" s="1"/>
  <c r="G74" i="5" l="1"/>
  <c r="H74" i="5" s="1"/>
  <c r="G75" i="5" l="1"/>
  <c r="H75" i="5" s="1"/>
  <c r="G76" i="5" l="1"/>
  <c r="H76" i="5" s="1"/>
  <c r="G77" i="5" l="1"/>
  <c r="H77" i="5" s="1"/>
</calcChain>
</file>

<file path=xl/sharedStrings.xml><?xml version="1.0" encoding="utf-8"?>
<sst xmlns="http://schemas.openxmlformats.org/spreadsheetml/2006/main" count="156" uniqueCount="22">
  <si>
    <t>Distancia (km)</t>
  </si>
  <si>
    <t>Tiempo (mm:ss,d)</t>
  </si>
  <si>
    <t>km</t>
  </si>
  <si>
    <t>seg</t>
  </si>
  <si>
    <t>Velocidad</t>
  </si>
  <si>
    <t>Delta seg</t>
  </si>
  <si>
    <t>Distancia hasta</t>
  </si>
  <si>
    <t>Tiempo (seg)</t>
  </si>
  <si>
    <t>Distancia desde</t>
  </si>
  <si>
    <t>Tiempo de paso</t>
  </si>
  <si>
    <t>Tiempo</t>
  </si>
  <si>
    <t>Diff Tiempo</t>
  </si>
  <si>
    <t>Velocidad (km/h)</t>
  </si>
  <si>
    <t>+00:09.0</t>
  </si>
  <si>
    <t>+00:07.2</t>
  </si>
  <si>
    <t>+00:14.4</t>
  </si>
  <si>
    <t>+00:08.6</t>
  </si>
  <si>
    <t>+00:09.9</t>
  </si>
  <si>
    <t>+00:10.3</t>
  </si>
  <si>
    <t>+00:07.8</t>
  </si>
  <si>
    <t>+00:05.1</t>
  </si>
  <si>
    <t>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</si>
</sst>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" x14ac:knownFonts="1">
    <font>
      <sz val="11"/>
      <color theme="1"/>
      <name val="Calibri"/>
      <family val="2"/>
      <scheme val="minor"/>
    </font>
    <font>
      <sz val="14"/>
      <color rgb="FF64748B"/>
      <name val="Arial"/>
      <family val="2"/>
    </font>
    <font>
      <sz val="14"/>
      <color rgb="FF1E293B"/>
      <name val="Arial"/>
      <family val="2"/>
    </font>
    <font>
      <b/>
      <sz val="14"/>
      <color rgb="FF1E293B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8FAFC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3" fontId="0" fillId="0" borderId="0" xfId="0" applyNumberFormat="1"/>
    <xf numFmtId="47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165" fontId="0" fillId="0" borderId="1" xfId="0" applyNumberFormat="1" applyBorder="1"/>
    <xf numFmtId="2" fontId="0" fillId="0" borderId="1" xfId="0" applyNumberFormat="1" applyBorder="1"/>
    <xf numFmtId="164" fontId="0" fillId="0" borderId="1" xfId="0" applyNumberFormat="1" applyBorder="1"/>
    <xf numFmtId="0" fontId="1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/>
    </xf>
    <xf numFmtId="47" fontId="2" fillId="2" borderId="0" xfId="0" applyNumberFormat="1" applyFont="1" applyFill="1" applyAlignment="1">
      <alignment horizontal="left" vertical="center" wrapText="1"/>
    </xf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A85F0-9905-4CD2-9790-FCB7EAAC5145}">
  <dimension ref="A1:P96"/>
  <sheetViews>
    <sheetView tabSelected="1" zoomScaleNormal="100" workbookViewId="0">
      <pane xSplit="1" ySplit="1" topLeftCell="B41" activePane="bottomRight" state="frozen"/>
      <selection pane="topRight" activeCell="B1" sqref="B1"/>
      <selection pane="bottomLeft" activeCell="A2" sqref="A2"/>
      <selection pane="bottomRight" activeCell="E60" sqref="E60"/>
    </sheetView>
  </sheetViews>
  <sheetFormatPr defaultRowHeight="14.5" x14ac:dyDescent="0.35"/>
  <cols>
    <col min="1" max="1" width="12.6328125" bestFit="1" customWidth="1"/>
    <col min="2" max="2" width="15.90625" bestFit="1" customWidth="1"/>
    <col min="3" max="3" width="15.90625" customWidth="1"/>
    <col min="6" max="6" width="9.36328125" bestFit="1" customWidth="1"/>
    <col min="7" max="8" width="9.36328125" customWidth="1"/>
    <col min="12" max="12" width="8.90625" bestFit="1" customWidth="1"/>
  </cols>
  <sheetData>
    <row r="1" spans="1:16" s="6" customFormat="1" ht="31.5" customHeight="1" x14ac:dyDescent="0.35">
      <c r="A1" s="6" t="s">
        <v>0</v>
      </c>
      <c r="B1" s="6" t="s">
        <v>1</v>
      </c>
      <c r="C1" s="6" t="s">
        <v>5</v>
      </c>
      <c r="D1" s="6" t="s">
        <v>2</v>
      </c>
      <c r="E1" s="6" t="s">
        <v>3</v>
      </c>
      <c r="F1" s="6" t="s">
        <v>4</v>
      </c>
      <c r="G1" s="6" t="s">
        <v>21</v>
      </c>
      <c r="J1" s="7" t="s">
        <v>8</v>
      </c>
      <c r="K1" s="7" t="s">
        <v>6</v>
      </c>
      <c r="L1" s="7" t="s">
        <v>4</v>
      </c>
      <c r="M1" s="7" t="s">
        <v>7</v>
      </c>
      <c r="O1" s="6" t="str">
        <f t="shared" ref="O1:O12" si="0">K1</f>
        <v>Distancia hasta</v>
      </c>
      <c r="P1" s="6" t="s">
        <v>9</v>
      </c>
    </row>
    <row r="2" spans="1:16" x14ac:dyDescent="0.35">
      <c r="A2">
        <v>0</v>
      </c>
      <c r="B2" s="2">
        <v>0</v>
      </c>
      <c r="C2" s="2">
        <v>0</v>
      </c>
      <c r="D2" s="5">
        <f>A2/1000</f>
        <v>0</v>
      </c>
      <c r="E2" s="4">
        <f>B2*24*3600</f>
        <v>0</v>
      </c>
      <c r="F2" s="3">
        <f>F3</f>
        <v>25</v>
      </c>
      <c r="G2" s="3">
        <f>(D3-D2)/((E3-E2 -0.1)/3600) -F3</f>
        <v>0.17482517482517324</v>
      </c>
      <c r="H2" s="3" t="b">
        <f>ABS(F3-F2) &gt;=G2</f>
        <v>0</v>
      </c>
      <c r="J2" s="8">
        <v>0</v>
      </c>
      <c r="K2" s="9">
        <v>0.3</v>
      </c>
      <c r="L2" s="10">
        <v>24.999999999999989</v>
      </c>
      <c r="M2" s="11">
        <f t="shared" ref="M2:M11" si="1">(K2-J2)/L2*3600</f>
        <v>43.200000000000017</v>
      </c>
      <c r="O2" s="5">
        <f t="shared" si="0"/>
        <v>0.3</v>
      </c>
      <c r="P2" s="2">
        <f>M2/24/3600</f>
        <v>5.0000000000000023E-4</v>
      </c>
    </row>
    <row r="3" spans="1:16" x14ac:dyDescent="0.35">
      <c r="A3">
        <v>100</v>
      </c>
      <c r="B3" s="2">
        <v>1.6666666666666666E-4</v>
      </c>
      <c r="C3" s="2">
        <f>(B3-B2)</f>
        <v>1.6666666666666666E-4</v>
      </c>
      <c r="D3" s="5">
        <f t="shared" ref="D3:D66" si="2">A3/1000</f>
        <v>0.1</v>
      </c>
      <c r="E3" s="4">
        <f t="shared" ref="E3:E66" si="3">B3*24*3600</f>
        <v>14.4</v>
      </c>
      <c r="F3" s="3">
        <f>(D3-D2)/((E3-E2)/3600)</f>
        <v>25</v>
      </c>
      <c r="G3" s="3">
        <f t="shared" ref="G3:G66" si="4">(D4-D3)/((E4-E3 -0.1)/3600) -F4</f>
        <v>0.17482517482517324</v>
      </c>
      <c r="H3" s="3" t="b">
        <f t="shared" ref="H3:H66" si="5">ABS(F4-F3) &gt;=G3</f>
        <v>0</v>
      </c>
      <c r="J3" s="9">
        <f>K2</f>
        <v>0.3</v>
      </c>
      <c r="K3" s="9">
        <v>0.6</v>
      </c>
      <c r="L3" s="10">
        <v>30.000000000000032</v>
      </c>
      <c r="M3" s="11">
        <f t="shared" si="1"/>
        <v>35.999999999999964</v>
      </c>
      <c r="O3" s="5">
        <f t="shared" si="0"/>
        <v>0.6</v>
      </c>
      <c r="P3" s="2">
        <f t="shared" ref="P3:P12" si="6">P2+M3/24/3600</f>
        <v>9.1666666666666654E-4</v>
      </c>
    </row>
    <row r="4" spans="1:16" x14ac:dyDescent="0.35">
      <c r="A4">
        <v>200</v>
      </c>
      <c r="B4" s="2">
        <v>3.3333333333333332E-4</v>
      </c>
      <c r="C4" s="2">
        <f t="shared" ref="C4:C67" si="7">(B4-B3)</f>
        <v>1.6666666666666666E-4</v>
      </c>
      <c r="D4" s="5">
        <f t="shared" si="2"/>
        <v>0.2</v>
      </c>
      <c r="E4" s="4">
        <f t="shared" si="3"/>
        <v>28.8</v>
      </c>
      <c r="F4" s="3">
        <f t="shared" ref="F4:F67" si="8">(D4-D3)/((E4-E3)/3600)</f>
        <v>25</v>
      </c>
      <c r="G4" s="3">
        <f t="shared" si="4"/>
        <v>0.17482517482517324</v>
      </c>
      <c r="H4" s="3" t="b">
        <f t="shared" si="5"/>
        <v>0</v>
      </c>
      <c r="J4" s="9">
        <f t="shared" ref="J4:J12" si="9">K3</f>
        <v>0.6</v>
      </c>
      <c r="K4" s="9">
        <v>2.6</v>
      </c>
      <c r="L4" s="10">
        <v>50.000000000000121</v>
      </c>
      <c r="M4" s="11">
        <f t="shared" si="1"/>
        <v>143.99999999999966</v>
      </c>
      <c r="O4" s="5">
        <f t="shared" si="0"/>
        <v>2.6</v>
      </c>
      <c r="P4" s="2">
        <f t="shared" si="6"/>
        <v>2.583333333333329E-3</v>
      </c>
    </row>
    <row r="5" spans="1:16" x14ac:dyDescent="0.35">
      <c r="A5">
        <v>300</v>
      </c>
      <c r="B5" s="2">
        <v>5.0000000000000001E-4</v>
      </c>
      <c r="C5" s="2">
        <f t="shared" si="7"/>
        <v>1.6666666666666669E-4</v>
      </c>
      <c r="D5" s="5">
        <f t="shared" si="2"/>
        <v>0.3</v>
      </c>
      <c r="E5" s="4">
        <f t="shared" si="3"/>
        <v>43.2</v>
      </c>
      <c r="F5" s="3">
        <f t="shared" si="8"/>
        <v>24.999999999999989</v>
      </c>
      <c r="G5" s="3">
        <f t="shared" si="4"/>
        <v>0.25210084033613711</v>
      </c>
      <c r="H5" s="3" t="b">
        <f t="shared" si="5"/>
        <v>1</v>
      </c>
      <c r="J5" s="9">
        <f t="shared" si="9"/>
        <v>2.6</v>
      </c>
      <c r="K5" s="9">
        <v>3.1</v>
      </c>
      <c r="L5" s="10">
        <v>40</v>
      </c>
      <c r="M5" s="11">
        <f t="shared" si="1"/>
        <v>45</v>
      </c>
      <c r="O5" s="5">
        <f t="shared" si="0"/>
        <v>3.1</v>
      </c>
      <c r="P5" s="2">
        <f t="shared" si="6"/>
        <v>3.1041666666666622E-3</v>
      </c>
    </row>
    <row r="6" spans="1:16" x14ac:dyDescent="0.35">
      <c r="A6">
        <v>400</v>
      </c>
      <c r="B6" s="2">
        <v>6.3888888888888893E-4</v>
      </c>
      <c r="C6" s="2">
        <f t="shared" si="7"/>
        <v>1.3888888888888892E-4</v>
      </c>
      <c r="D6" s="5">
        <f t="shared" si="2"/>
        <v>0.4</v>
      </c>
      <c r="E6" s="4">
        <f t="shared" si="3"/>
        <v>55.2</v>
      </c>
      <c r="F6" s="3">
        <f t="shared" si="8"/>
        <v>30.000000000000007</v>
      </c>
      <c r="G6" s="3">
        <f t="shared" si="4"/>
        <v>0.25210084033613356</v>
      </c>
      <c r="H6" s="3" t="b">
        <f t="shared" si="5"/>
        <v>0</v>
      </c>
      <c r="J6" s="9">
        <f t="shared" si="9"/>
        <v>3.1</v>
      </c>
      <c r="K6" s="9">
        <v>3.3</v>
      </c>
      <c r="L6" s="10">
        <v>35.29</v>
      </c>
      <c r="M6" s="11">
        <f t="shared" si="1"/>
        <v>20.402380277699038</v>
      </c>
      <c r="O6" s="5">
        <f t="shared" si="0"/>
        <v>3.3</v>
      </c>
      <c r="P6" s="2">
        <f t="shared" si="6"/>
        <v>3.3403053272881788E-3</v>
      </c>
    </row>
    <row r="7" spans="1:16" x14ac:dyDescent="0.35">
      <c r="A7">
        <v>500</v>
      </c>
      <c r="B7" s="2">
        <v>7.7777777777777784E-4</v>
      </c>
      <c r="C7" s="2">
        <f t="shared" si="7"/>
        <v>1.3888888888888892E-4</v>
      </c>
      <c r="D7" s="5">
        <f t="shared" si="2"/>
        <v>0.5</v>
      </c>
      <c r="E7" s="4">
        <f t="shared" si="3"/>
        <v>67.2</v>
      </c>
      <c r="F7" s="3">
        <f t="shared" si="8"/>
        <v>29.999999999999993</v>
      </c>
      <c r="G7" s="3">
        <f t="shared" si="4"/>
        <v>0.25210084033613356</v>
      </c>
      <c r="H7" s="3" t="b">
        <f t="shared" si="5"/>
        <v>0</v>
      </c>
      <c r="J7" s="9">
        <f t="shared" si="9"/>
        <v>3.3</v>
      </c>
      <c r="K7" s="9">
        <v>3.6</v>
      </c>
      <c r="L7" s="10">
        <v>34.951456310679603</v>
      </c>
      <c r="M7" s="11">
        <f t="shared" si="1"/>
        <v>30.900000000000038</v>
      </c>
      <c r="O7" s="5">
        <f t="shared" si="0"/>
        <v>3.6</v>
      </c>
      <c r="P7" s="2">
        <f t="shared" si="6"/>
        <v>3.6979442161770683E-3</v>
      </c>
    </row>
    <row r="8" spans="1:16" x14ac:dyDescent="0.35">
      <c r="A8">
        <v>600</v>
      </c>
      <c r="B8" s="2">
        <v>9.1666666666666665E-4</v>
      </c>
      <c r="C8" s="2">
        <f t="shared" si="7"/>
        <v>1.3888888888888881E-4</v>
      </c>
      <c r="D8" s="5">
        <f t="shared" si="2"/>
        <v>0.6</v>
      </c>
      <c r="E8" s="4">
        <f t="shared" si="3"/>
        <v>79.199999999999989</v>
      </c>
      <c r="F8" s="3">
        <f t="shared" si="8"/>
        <v>30.000000000000032</v>
      </c>
      <c r="G8" s="3">
        <f t="shared" si="4"/>
        <v>0.70422535211266535</v>
      </c>
      <c r="H8" s="3" t="b">
        <f t="shared" si="5"/>
        <v>1</v>
      </c>
      <c r="J8" s="9">
        <f t="shared" si="9"/>
        <v>3.6</v>
      </c>
      <c r="K8" s="9">
        <v>4</v>
      </c>
      <c r="L8" s="10">
        <v>29.999999999999883</v>
      </c>
      <c r="M8" s="11">
        <f t="shared" si="1"/>
        <v>48.000000000000178</v>
      </c>
      <c r="O8" s="5">
        <f t="shared" si="0"/>
        <v>4</v>
      </c>
      <c r="P8" s="2">
        <f t="shared" si="6"/>
        <v>4.2534997717326257E-3</v>
      </c>
    </row>
    <row r="9" spans="1:16" x14ac:dyDescent="0.35">
      <c r="A9">
        <v>700</v>
      </c>
      <c r="B9" s="2">
        <v>1E-3</v>
      </c>
      <c r="C9" s="2">
        <f t="shared" si="7"/>
        <v>8.3333333333333371E-5</v>
      </c>
      <c r="D9" s="5">
        <f t="shared" si="2"/>
        <v>0.7</v>
      </c>
      <c r="E9" s="4">
        <f t="shared" si="3"/>
        <v>86.4</v>
      </c>
      <c r="F9" s="3">
        <f t="shared" si="8"/>
        <v>49.999999999999872</v>
      </c>
      <c r="G9" s="3">
        <f t="shared" si="4"/>
        <v>0.70422535211268666</v>
      </c>
      <c r="H9" s="3" t="b">
        <f t="shared" si="5"/>
        <v>0</v>
      </c>
      <c r="J9" s="9">
        <f t="shared" si="9"/>
        <v>4</v>
      </c>
      <c r="K9" s="9">
        <v>4.3</v>
      </c>
      <c r="L9" s="10">
        <v>39.999999999999858</v>
      </c>
      <c r="M9" s="11">
        <f t="shared" si="1"/>
        <v>27.000000000000082</v>
      </c>
      <c r="O9" s="5">
        <f t="shared" si="0"/>
        <v>4.3</v>
      </c>
      <c r="P9" s="2">
        <f t="shared" si="6"/>
        <v>4.5659997717326269E-3</v>
      </c>
    </row>
    <row r="10" spans="1:16" x14ac:dyDescent="0.35">
      <c r="A10">
        <v>800</v>
      </c>
      <c r="B10" s="2">
        <v>1.0833333333333333E-3</v>
      </c>
      <c r="C10" s="2">
        <f t="shared" si="7"/>
        <v>8.3333333333333263E-5</v>
      </c>
      <c r="D10" s="5">
        <f t="shared" si="2"/>
        <v>0.8</v>
      </c>
      <c r="E10" s="4">
        <f t="shared" si="3"/>
        <v>93.6</v>
      </c>
      <c r="F10" s="3">
        <f t="shared" si="8"/>
        <v>50.000000000000121</v>
      </c>
      <c r="G10" s="3">
        <f t="shared" si="4"/>
        <v>0.70422535211268666</v>
      </c>
      <c r="H10" s="3" t="b">
        <f t="shared" si="5"/>
        <v>0</v>
      </c>
      <c r="J10" s="9">
        <f t="shared" si="9"/>
        <v>4.3</v>
      </c>
      <c r="K10" s="9">
        <v>4.4000000000000004</v>
      </c>
      <c r="L10" s="10">
        <v>44.444444444444557</v>
      </c>
      <c r="M10" s="11">
        <f t="shared" si="1"/>
        <v>8.1000000000000227</v>
      </c>
      <c r="O10" s="5">
        <f t="shared" si="0"/>
        <v>4.4000000000000004</v>
      </c>
      <c r="P10" s="2">
        <f t="shared" si="6"/>
        <v>4.6597497717326269E-3</v>
      </c>
    </row>
    <row r="11" spans="1:16" x14ac:dyDescent="0.35">
      <c r="A11">
        <v>900</v>
      </c>
      <c r="B11" s="2">
        <v>1.1666666666666665E-3</v>
      </c>
      <c r="C11" s="2">
        <f t="shared" si="7"/>
        <v>8.3333333333333263E-5</v>
      </c>
      <c r="D11" s="5">
        <f t="shared" si="2"/>
        <v>0.9</v>
      </c>
      <c r="E11" s="4">
        <f t="shared" si="3"/>
        <v>100.79999999999998</v>
      </c>
      <c r="F11" s="3">
        <f t="shared" si="8"/>
        <v>50.000000000000064</v>
      </c>
      <c r="G11" s="3">
        <f t="shared" si="4"/>
        <v>0.70422535211266535</v>
      </c>
      <c r="H11" s="3" t="b">
        <f t="shared" si="5"/>
        <v>0</v>
      </c>
      <c r="J11" s="9">
        <f t="shared" si="9"/>
        <v>4.4000000000000004</v>
      </c>
      <c r="K11" s="9">
        <v>7.4</v>
      </c>
      <c r="L11" s="10">
        <v>49.99999999999995</v>
      </c>
      <c r="M11" s="11">
        <f t="shared" si="1"/>
        <v>216.00000000000023</v>
      </c>
      <c r="O11" s="5">
        <f t="shared" si="0"/>
        <v>7.4</v>
      </c>
      <c r="P11" s="2">
        <f t="shared" si="6"/>
        <v>7.1597497717326292E-3</v>
      </c>
    </row>
    <row r="12" spans="1:16" x14ac:dyDescent="0.35">
      <c r="A12" s="1">
        <v>1000</v>
      </c>
      <c r="B12" s="2">
        <v>1.25E-3</v>
      </c>
      <c r="C12" s="2">
        <f t="shared" si="7"/>
        <v>8.333333333333348E-5</v>
      </c>
      <c r="D12" s="5">
        <f t="shared" si="2"/>
        <v>1</v>
      </c>
      <c r="E12" s="4">
        <f t="shared" si="3"/>
        <v>108</v>
      </c>
      <c r="F12" s="3">
        <f t="shared" si="8"/>
        <v>49.999999999999872</v>
      </c>
      <c r="G12" s="3">
        <f t="shared" si="4"/>
        <v>0.70422535211267245</v>
      </c>
      <c r="H12" s="3" t="b">
        <f t="shared" si="5"/>
        <v>0</v>
      </c>
      <c r="J12" s="9">
        <f t="shared" si="9"/>
        <v>7.4</v>
      </c>
      <c r="K12" s="9">
        <v>7.4160000000000004</v>
      </c>
      <c r="L12" s="10">
        <v>48.000000000002771</v>
      </c>
      <c r="M12" s="11">
        <f>(K12-J12)/L12*3600</f>
        <v>1.1999999999999318</v>
      </c>
      <c r="O12" s="5">
        <f t="shared" si="0"/>
        <v>7.4160000000000004</v>
      </c>
      <c r="P12" s="2">
        <f t="shared" si="6"/>
        <v>7.1736386606215171E-3</v>
      </c>
    </row>
    <row r="13" spans="1:16" x14ac:dyDescent="0.35">
      <c r="A13" s="1">
        <v>1100</v>
      </c>
      <c r="B13" s="2">
        <v>1.3333333333333333E-3</v>
      </c>
      <c r="C13" s="2">
        <f t="shared" si="7"/>
        <v>8.3333333333333263E-5</v>
      </c>
      <c r="D13" s="5">
        <f t="shared" si="2"/>
        <v>1.1000000000000001</v>
      </c>
      <c r="E13" s="4">
        <f t="shared" si="3"/>
        <v>115.2</v>
      </c>
      <c r="F13" s="3">
        <f t="shared" si="8"/>
        <v>50.000000000000021</v>
      </c>
      <c r="G13" s="3">
        <f t="shared" si="4"/>
        <v>0.70422535211267245</v>
      </c>
      <c r="H13" s="3" t="b">
        <f t="shared" si="5"/>
        <v>0</v>
      </c>
      <c r="M13" s="2"/>
    </row>
    <row r="14" spans="1:16" x14ac:dyDescent="0.35">
      <c r="A14" s="1">
        <v>1200</v>
      </c>
      <c r="B14" s="2">
        <v>1.4166666666666668E-3</v>
      </c>
      <c r="C14" s="2">
        <f t="shared" si="7"/>
        <v>8.333333333333348E-5</v>
      </c>
      <c r="D14" s="5">
        <f t="shared" si="2"/>
        <v>1.2</v>
      </c>
      <c r="E14" s="4">
        <f t="shared" si="3"/>
        <v>122.4</v>
      </c>
      <c r="F14" s="3">
        <f t="shared" si="8"/>
        <v>49.999999999999908</v>
      </c>
      <c r="G14" s="3">
        <f t="shared" si="4"/>
        <v>0.70422535211267245</v>
      </c>
      <c r="H14" s="3" t="b">
        <f t="shared" si="5"/>
        <v>0</v>
      </c>
    </row>
    <row r="15" spans="1:16" x14ac:dyDescent="0.35">
      <c r="A15" s="1">
        <v>1300</v>
      </c>
      <c r="B15" s="2">
        <v>1.5E-3</v>
      </c>
      <c r="C15" s="2">
        <f t="shared" si="7"/>
        <v>8.3333333333333263E-5</v>
      </c>
      <c r="D15" s="5">
        <f t="shared" si="2"/>
        <v>1.3</v>
      </c>
      <c r="E15" s="4">
        <f t="shared" si="3"/>
        <v>129.60000000000002</v>
      </c>
      <c r="F15" s="3">
        <f t="shared" si="8"/>
        <v>49.999999999999922</v>
      </c>
      <c r="G15" s="3">
        <f t="shared" si="4"/>
        <v>0.70422535211268666</v>
      </c>
      <c r="H15" s="3" t="b">
        <f t="shared" si="5"/>
        <v>0</v>
      </c>
    </row>
    <row r="16" spans="1:16" x14ac:dyDescent="0.35">
      <c r="A16" s="1">
        <v>1400</v>
      </c>
      <c r="B16" s="2">
        <v>1.5833333333333335E-3</v>
      </c>
      <c r="C16" s="2">
        <f t="shared" si="7"/>
        <v>8.333333333333348E-5</v>
      </c>
      <c r="D16" s="5">
        <f t="shared" si="2"/>
        <v>1.4</v>
      </c>
      <c r="E16" s="4">
        <f t="shared" si="3"/>
        <v>136.80000000000001</v>
      </c>
      <c r="F16" s="3">
        <f t="shared" si="8"/>
        <v>50.000000000000007</v>
      </c>
      <c r="G16" s="3">
        <f t="shared" si="4"/>
        <v>0.70422535211268666</v>
      </c>
      <c r="H16" s="3" t="b">
        <f t="shared" si="5"/>
        <v>0</v>
      </c>
    </row>
    <row r="17" spans="1:8" x14ac:dyDescent="0.35">
      <c r="A17" s="1">
        <v>1500</v>
      </c>
      <c r="B17" s="2">
        <v>1.6666666666666668E-3</v>
      </c>
      <c r="C17" s="2">
        <f t="shared" si="7"/>
        <v>8.3333333333333263E-5</v>
      </c>
      <c r="D17" s="5">
        <f t="shared" si="2"/>
        <v>1.5</v>
      </c>
      <c r="E17" s="4">
        <f t="shared" si="3"/>
        <v>144</v>
      </c>
      <c r="F17" s="3">
        <f t="shared" si="8"/>
        <v>50.000000000000121</v>
      </c>
      <c r="G17" s="3">
        <f t="shared" si="4"/>
        <v>0.70422535211268666</v>
      </c>
      <c r="H17" s="3" t="b">
        <f t="shared" si="5"/>
        <v>0</v>
      </c>
    </row>
    <row r="18" spans="1:8" x14ac:dyDescent="0.35">
      <c r="A18" s="1">
        <v>1600</v>
      </c>
      <c r="B18" s="2">
        <v>1.7499999999999998E-3</v>
      </c>
      <c r="C18" s="2">
        <f t="shared" si="7"/>
        <v>8.3333333333333046E-5</v>
      </c>
      <c r="D18" s="5">
        <f t="shared" si="2"/>
        <v>1.6</v>
      </c>
      <c r="E18" s="4">
        <f t="shared" si="3"/>
        <v>151.19999999999999</v>
      </c>
      <c r="F18" s="3">
        <f t="shared" si="8"/>
        <v>50.000000000000121</v>
      </c>
      <c r="G18" s="3">
        <f t="shared" si="4"/>
        <v>0.70422535211268666</v>
      </c>
      <c r="H18" s="3" t="b">
        <f t="shared" si="5"/>
        <v>0</v>
      </c>
    </row>
    <row r="19" spans="1:8" x14ac:dyDescent="0.35">
      <c r="A19" s="1">
        <v>1700</v>
      </c>
      <c r="B19" s="2">
        <v>1.8333333333333333E-3</v>
      </c>
      <c r="C19" s="2">
        <f t="shared" si="7"/>
        <v>8.333333333333348E-5</v>
      </c>
      <c r="D19" s="5">
        <f t="shared" si="2"/>
        <v>1.7</v>
      </c>
      <c r="E19" s="4">
        <f t="shared" si="3"/>
        <v>158.39999999999998</v>
      </c>
      <c r="F19" s="3">
        <f t="shared" si="8"/>
        <v>50.000000000000007</v>
      </c>
      <c r="G19" s="3">
        <f t="shared" si="4"/>
        <v>0.70422535211267245</v>
      </c>
      <c r="H19" s="3" t="b">
        <f t="shared" si="5"/>
        <v>0</v>
      </c>
    </row>
    <row r="20" spans="1:8" x14ac:dyDescent="0.35">
      <c r="A20" s="1">
        <v>1800</v>
      </c>
      <c r="B20" s="2">
        <v>1.9166666666666666E-3</v>
      </c>
      <c r="C20" s="2">
        <f t="shared" si="7"/>
        <v>8.3333333333333263E-5</v>
      </c>
      <c r="D20" s="5">
        <f t="shared" si="2"/>
        <v>1.8</v>
      </c>
      <c r="E20" s="4">
        <f t="shared" si="3"/>
        <v>165.6</v>
      </c>
      <c r="F20" s="3">
        <f t="shared" si="8"/>
        <v>49.999999999999922</v>
      </c>
      <c r="G20" s="3">
        <f t="shared" si="4"/>
        <v>0.70422535211266535</v>
      </c>
      <c r="H20" s="3" t="b">
        <f t="shared" si="5"/>
        <v>0</v>
      </c>
    </row>
    <row r="21" spans="1:8" x14ac:dyDescent="0.35">
      <c r="A21" s="1">
        <v>1900</v>
      </c>
      <c r="B21" s="2">
        <v>2E-3</v>
      </c>
      <c r="C21" s="2">
        <f t="shared" si="7"/>
        <v>8.333333333333348E-5</v>
      </c>
      <c r="D21" s="5">
        <f t="shared" si="2"/>
        <v>1.9</v>
      </c>
      <c r="E21" s="4">
        <f t="shared" si="3"/>
        <v>172.8</v>
      </c>
      <c r="F21" s="3">
        <f t="shared" si="8"/>
        <v>49.999999999999815</v>
      </c>
      <c r="G21" s="3">
        <f t="shared" si="4"/>
        <v>0.70422535211268666</v>
      </c>
      <c r="H21" s="3" t="b">
        <f t="shared" si="5"/>
        <v>0</v>
      </c>
    </row>
    <row r="22" spans="1:8" x14ac:dyDescent="0.35">
      <c r="A22" s="1">
        <v>2000</v>
      </c>
      <c r="B22" s="2">
        <v>2.0833333333333333E-3</v>
      </c>
      <c r="C22" s="2">
        <f t="shared" si="7"/>
        <v>8.3333333333333263E-5</v>
      </c>
      <c r="D22" s="5">
        <f t="shared" si="2"/>
        <v>2</v>
      </c>
      <c r="E22" s="4">
        <f t="shared" si="3"/>
        <v>180</v>
      </c>
      <c r="F22" s="3">
        <f t="shared" si="8"/>
        <v>50.000000000000121</v>
      </c>
      <c r="G22" s="3">
        <f t="shared" si="4"/>
        <v>0.70422535211268666</v>
      </c>
      <c r="H22" s="3" t="b">
        <f t="shared" si="5"/>
        <v>0</v>
      </c>
    </row>
    <row r="23" spans="1:8" x14ac:dyDescent="0.35">
      <c r="A23" s="1">
        <v>2100</v>
      </c>
      <c r="B23" s="2">
        <v>2.1666666666666666E-3</v>
      </c>
      <c r="C23" s="2">
        <f t="shared" si="7"/>
        <v>8.3333333333333263E-5</v>
      </c>
      <c r="D23" s="5">
        <f t="shared" si="2"/>
        <v>2.1</v>
      </c>
      <c r="E23" s="4">
        <f t="shared" si="3"/>
        <v>187.2</v>
      </c>
      <c r="F23" s="3">
        <f t="shared" si="8"/>
        <v>50.000000000000121</v>
      </c>
      <c r="G23" s="3">
        <f t="shared" si="4"/>
        <v>0.70422535211266535</v>
      </c>
      <c r="H23" s="3" t="b">
        <f t="shared" si="5"/>
        <v>0</v>
      </c>
    </row>
    <row r="24" spans="1:8" x14ac:dyDescent="0.35">
      <c r="A24" s="1">
        <v>2200</v>
      </c>
      <c r="B24" s="2">
        <v>2.2500000000000003E-3</v>
      </c>
      <c r="C24" s="2">
        <f t="shared" si="7"/>
        <v>8.3333333333333696E-5</v>
      </c>
      <c r="D24" s="5">
        <f t="shared" si="2"/>
        <v>2.2000000000000002</v>
      </c>
      <c r="E24" s="4">
        <f t="shared" si="3"/>
        <v>194.40000000000003</v>
      </c>
      <c r="F24" s="3">
        <f t="shared" si="8"/>
        <v>49.99999999999973</v>
      </c>
      <c r="G24" s="3">
        <f t="shared" si="4"/>
        <v>0.70422535211267956</v>
      </c>
      <c r="H24" s="3" t="b">
        <f t="shared" si="5"/>
        <v>0</v>
      </c>
    </row>
    <row r="25" spans="1:8" x14ac:dyDescent="0.35">
      <c r="A25" s="1">
        <v>2300</v>
      </c>
      <c r="B25" s="2">
        <v>2.3333333333333331E-3</v>
      </c>
      <c r="C25" s="2">
        <f t="shared" si="7"/>
        <v>8.3333333333332829E-5</v>
      </c>
      <c r="D25" s="5">
        <f t="shared" si="2"/>
        <v>2.2999999999999998</v>
      </c>
      <c r="E25" s="4">
        <f t="shared" si="3"/>
        <v>201.59999999999997</v>
      </c>
      <c r="F25" s="3">
        <f t="shared" si="8"/>
        <v>50.000000000000298</v>
      </c>
      <c r="G25" s="3">
        <f t="shared" si="4"/>
        <v>0.70422535211266535</v>
      </c>
      <c r="H25" s="3" t="b">
        <f t="shared" si="5"/>
        <v>0</v>
      </c>
    </row>
    <row r="26" spans="1:8" x14ac:dyDescent="0.35">
      <c r="A26" s="1">
        <v>2400</v>
      </c>
      <c r="B26" s="2">
        <v>2.4166666666666668E-3</v>
      </c>
      <c r="C26" s="2">
        <f t="shared" si="7"/>
        <v>8.3333333333333696E-5</v>
      </c>
      <c r="D26" s="5">
        <f t="shared" si="2"/>
        <v>2.4</v>
      </c>
      <c r="E26" s="4">
        <f t="shared" si="3"/>
        <v>208.8</v>
      </c>
      <c r="F26" s="3">
        <f t="shared" si="8"/>
        <v>49.99999999999973</v>
      </c>
      <c r="G26" s="3">
        <f t="shared" si="4"/>
        <v>0.70422535211268666</v>
      </c>
      <c r="H26" s="3" t="b">
        <f t="shared" si="5"/>
        <v>0</v>
      </c>
    </row>
    <row r="27" spans="1:8" x14ac:dyDescent="0.35">
      <c r="A27" s="1">
        <v>2500</v>
      </c>
      <c r="B27" s="2">
        <v>2.5000000000000001E-3</v>
      </c>
      <c r="C27" s="2">
        <f t="shared" si="7"/>
        <v>8.3333333333333263E-5</v>
      </c>
      <c r="D27" s="5">
        <f t="shared" si="2"/>
        <v>2.5</v>
      </c>
      <c r="E27" s="4">
        <f t="shared" si="3"/>
        <v>216</v>
      </c>
      <c r="F27" s="3">
        <f t="shared" si="8"/>
        <v>50.000000000000121</v>
      </c>
      <c r="G27" s="3">
        <f t="shared" si="4"/>
        <v>0.70422535211268666</v>
      </c>
      <c r="H27" s="3" t="b">
        <f t="shared" si="5"/>
        <v>0</v>
      </c>
    </row>
    <row r="28" spans="1:8" x14ac:dyDescent="0.35">
      <c r="A28" s="1">
        <v>2600</v>
      </c>
      <c r="B28" s="2">
        <v>2.5833333333333333E-3</v>
      </c>
      <c r="C28" s="2">
        <f t="shared" si="7"/>
        <v>8.3333333333333263E-5</v>
      </c>
      <c r="D28" s="5">
        <f t="shared" si="2"/>
        <v>2.6</v>
      </c>
      <c r="E28" s="4">
        <f t="shared" si="3"/>
        <v>223.2</v>
      </c>
      <c r="F28" s="3">
        <f t="shared" si="8"/>
        <v>50.000000000000121</v>
      </c>
      <c r="G28" s="3">
        <f t="shared" si="4"/>
        <v>0.44943820224718678</v>
      </c>
      <c r="H28" s="3" t="b">
        <f t="shared" si="5"/>
        <v>1</v>
      </c>
    </row>
    <row r="29" spans="1:8" x14ac:dyDescent="0.35">
      <c r="A29" s="1">
        <v>2700</v>
      </c>
      <c r="B29" s="2">
        <v>2.6874999999999998E-3</v>
      </c>
      <c r="C29" s="2">
        <f t="shared" si="7"/>
        <v>1.0416666666666647E-4</v>
      </c>
      <c r="D29" s="5">
        <f t="shared" si="2"/>
        <v>2.7</v>
      </c>
      <c r="E29" s="4">
        <f t="shared" si="3"/>
        <v>232.20000000000002</v>
      </c>
      <c r="F29" s="3">
        <f t="shared" si="8"/>
        <v>39.999999999999908</v>
      </c>
      <c r="G29" s="3">
        <f t="shared" si="4"/>
        <v>0.44943820224718678</v>
      </c>
      <c r="H29" s="3" t="b">
        <f t="shared" si="5"/>
        <v>0</v>
      </c>
    </row>
    <row r="30" spans="1:8" x14ac:dyDescent="0.35">
      <c r="A30" s="1">
        <v>2800</v>
      </c>
      <c r="B30" s="2">
        <v>2.7916666666666667E-3</v>
      </c>
      <c r="C30" s="2">
        <f t="shared" si="7"/>
        <v>1.041666666666669E-4</v>
      </c>
      <c r="D30" s="5">
        <f t="shared" si="2"/>
        <v>2.8</v>
      </c>
      <c r="E30" s="4">
        <f t="shared" si="3"/>
        <v>241.20000000000002</v>
      </c>
      <c r="F30" s="3">
        <f t="shared" si="8"/>
        <v>39.999999999999858</v>
      </c>
      <c r="G30" s="3">
        <f t="shared" si="4"/>
        <v>0.44943820224719389</v>
      </c>
      <c r="H30" s="3" t="b">
        <f t="shared" si="5"/>
        <v>0</v>
      </c>
    </row>
    <row r="31" spans="1:8" x14ac:dyDescent="0.35">
      <c r="A31" s="1">
        <v>2900</v>
      </c>
      <c r="B31" s="2">
        <v>2.8958333333333332E-3</v>
      </c>
      <c r="C31" s="2">
        <f t="shared" si="7"/>
        <v>1.0416666666666647E-4</v>
      </c>
      <c r="D31" s="5">
        <f t="shared" si="2"/>
        <v>2.9</v>
      </c>
      <c r="E31" s="4">
        <f t="shared" si="3"/>
        <v>250.19999999999996</v>
      </c>
      <c r="F31" s="3">
        <f t="shared" si="8"/>
        <v>40.000000000000291</v>
      </c>
      <c r="G31" s="3">
        <f t="shared" si="4"/>
        <v>0.44943820224717967</v>
      </c>
      <c r="H31" s="3" t="b">
        <f t="shared" si="5"/>
        <v>0</v>
      </c>
    </row>
    <row r="32" spans="1:8" x14ac:dyDescent="0.35">
      <c r="A32" s="1">
        <v>3000</v>
      </c>
      <c r="B32" s="2">
        <v>3.0000000000000001E-3</v>
      </c>
      <c r="C32" s="2">
        <f t="shared" si="7"/>
        <v>1.041666666666669E-4</v>
      </c>
      <c r="D32" s="5">
        <f t="shared" si="2"/>
        <v>3</v>
      </c>
      <c r="E32" s="4">
        <f t="shared" si="3"/>
        <v>259.20000000000005</v>
      </c>
      <c r="F32" s="3">
        <f t="shared" si="8"/>
        <v>39.999999999999659</v>
      </c>
      <c r="G32" s="3">
        <f t="shared" si="4"/>
        <v>0.44943820224719389</v>
      </c>
      <c r="H32" s="3" t="b">
        <f t="shared" si="5"/>
        <v>0</v>
      </c>
    </row>
    <row r="33" spans="1:8" x14ac:dyDescent="0.35">
      <c r="A33" s="1">
        <v>3100</v>
      </c>
      <c r="B33" s="2">
        <v>3.1041666666666665E-3</v>
      </c>
      <c r="C33" s="2">
        <f t="shared" si="7"/>
        <v>1.0416666666666647E-4</v>
      </c>
      <c r="D33" s="5">
        <f t="shared" si="2"/>
        <v>3.1</v>
      </c>
      <c r="E33" s="4">
        <f t="shared" si="3"/>
        <v>268.2</v>
      </c>
      <c r="F33" s="3">
        <f t="shared" si="8"/>
        <v>40.000000000000291</v>
      </c>
      <c r="G33" s="3">
        <f t="shared" si="4"/>
        <v>0.34944670937682076</v>
      </c>
      <c r="H33" s="3" t="b">
        <f t="shared" si="5"/>
        <v>1</v>
      </c>
    </row>
    <row r="34" spans="1:8" x14ac:dyDescent="0.35">
      <c r="A34" s="1">
        <v>3200</v>
      </c>
      <c r="B34" s="2">
        <v>3.2222222222222218E-3</v>
      </c>
      <c r="C34" s="2">
        <f t="shared" si="7"/>
        <v>1.1805555555555527E-4</v>
      </c>
      <c r="D34" s="5">
        <f t="shared" si="2"/>
        <v>3.2</v>
      </c>
      <c r="E34" s="4">
        <f t="shared" si="3"/>
        <v>278.39999999999998</v>
      </c>
      <c r="F34" s="3">
        <f t="shared" si="8"/>
        <v>35.294117647058897</v>
      </c>
      <c r="G34" s="3">
        <f t="shared" si="4"/>
        <v>0.34944670937681366</v>
      </c>
      <c r="H34" s="3" t="b">
        <f t="shared" si="5"/>
        <v>0</v>
      </c>
    </row>
    <row r="35" spans="1:8" x14ac:dyDescent="0.35">
      <c r="A35" s="1">
        <v>3300</v>
      </c>
      <c r="B35" s="2">
        <v>3.3402777777777779E-3</v>
      </c>
      <c r="C35" s="2">
        <f t="shared" si="7"/>
        <v>1.1805555555555614E-4</v>
      </c>
      <c r="D35" s="5">
        <f t="shared" si="2"/>
        <v>3.3</v>
      </c>
      <c r="E35" s="4">
        <f t="shared" si="3"/>
        <v>288.59999999999997</v>
      </c>
      <c r="F35" s="3">
        <f t="shared" si="8"/>
        <v>35.294117647058741</v>
      </c>
      <c r="G35" s="3">
        <f t="shared" si="4"/>
        <v>0.34266133637920859</v>
      </c>
      <c r="H35" s="3" t="b">
        <f t="shared" si="5"/>
        <v>0</v>
      </c>
    </row>
    <row r="36" spans="1:8" x14ac:dyDescent="0.35">
      <c r="A36" s="1">
        <v>3400</v>
      </c>
      <c r="B36" s="2">
        <v>3.4594907407407404E-3</v>
      </c>
      <c r="C36" s="2">
        <f t="shared" si="7"/>
        <v>1.1921296296296246E-4</v>
      </c>
      <c r="D36" s="5">
        <f t="shared" si="2"/>
        <v>3.4</v>
      </c>
      <c r="E36" s="4">
        <f t="shared" si="3"/>
        <v>298.89999999999998</v>
      </c>
      <c r="F36" s="3">
        <f t="shared" si="8"/>
        <v>34.951456310679603</v>
      </c>
      <c r="G36" s="3">
        <f t="shared" si="4"/>
        <v>0.34266133637920859</v>
      </c>
      <c r="H36" s="3" t="b">
        <f t="shared" si="5"/>
        <v>0</v>
      </c>
    </row>
    <row r="37" spans="1:8" x14ac:dyDescent="0.35">
      <c r="A37" s="1">
        <v>3500</v>
      </c>
      <c r="B37" s="2">
        <v>3.5787037037037037E-3</v>
      </c>
      <c r="C37" s="2">
        <f t="shared" si="7"/>
        <v>1.1921296296296333E-4</v>
      </c>
      <c r="D37" s="5">
        <f t="shared" si="2"/>
        <v>3.5</v>
      </c>
      <c r="E37" s="4">
        <f t="shared" si="3"/>
        <v>309.2</v>
      </c>
      <c r="F37" s="3">
        <f t="shared" si="8"/>
        <v>34.951456310679603</v>
      </c>
      <c r="G37" s="3">
        <f t="shared" si="4"/>
        <v>0.34266133637920859</v>
      </c>
      <c r="H37" s="3" t="b">
        <f t="shared" si="5"/>
        <v>0</v>
      </c>
    </row>
    <row r="38" spans="1:8" x14ac:dyDescent="0.35">
      <c r="A38" s="1">
        <v>3600</v>
      </c>
      <c r="B38" s="2">
        <v>3.6979166666666666E-3</v>
      </c>
      <c r="C38" s="2">
        <f t="shared" si="7"/>
        <v>1.1921296296296289E-4</v>
      </c>
      <c r="D38" s="5">
        <f t="shared" si="2"/>
        <v>3.6</v>
      </c>
      <c r="E38" s="4">
        <f t="shared" si="3"/>
        <v>319.5</v>
      </c>
      <c r="F38" s="3">
        <f t="shared" si="8"/>
        <v>34.951456310679603</v>
      </c>
      <c r="G38" s="3">
        <f t="shared" si="4"/>
        <v>0.25210084033613711</v>
      </c>
      <c r="H38" s="3" t="b">
        <f t="shared" si="5"/>
        <v>1</v>
      </c>
    </row>
    <row r="39" spans="1:8" x14ac:dyDescent="0.35">
      <c r="A39" s="1">
        <v>3700</v>
      </c>
      <c r="B39" s="2">
        <v>3.8368055555555555E-3</v>
      </c>
      <c r="C39" s="2">
        <f t="shared" si="7"/>
        <v>1.3888888888888892E-4</v>
      </c>
      <c r="D39" s="5">
        <f t="shared" si="2"/>
        <v>3.7</v>
      </c>
      <c r="E39" s="4">
        <f t="shared" si="3"/>
        <v>331.5</v>
      </c>
      <c r="F39" s="3">
        <f t="shared" si="8"/>
        <v>30.000000000000025</v>
      </c>
      <c r="G39" s="3">
        <f t="shared" si="4"/>
        <v>0.25210084033613356</v>
      </c>
      <c r="H39" s="3" t="b">
        <f t="shared" si="5"/>
        <v>0</v>
      </c>
    </row>
    <row r="40" spans="1:8" x14ac:dyDescent="0.35">
      <c r="A40" s="1">
        <v>3800</v>
      </c>
      <c r="B40" s="2">
        <v>3.975694444444444E-3</v>
      </c>
      <c r="C40" s="2">
        <f t="shared" si="7"/>
        <v>1.3888888888888848E-4</v>
      </c>
      <c r="D40" s="5">
        <f t="shared" si="2"/>
        <v>3.8</v>
      </c>
      <c r="E40" s="4">
        <f t="shared" si="3"/>
        <v>343.49999999999994</v>
      </c>
      <c r="F40" s="3">
        <f t="shared" si="8"/>
        <v>30.000000000000036</v>
      </c>
      <c r="G40" s="3">
        <f t="shared" si="4"/>
        <v>0.25210084033613711</v>
      </c>
      <c r="H40" s="3" t="b">
        <f t="shared" si="5"/>
        <v>0</v>
      </c>
    </row>
    <row r="41" spans="1:8" x14ac:dyDescent="0.35">
      <c r="A41" s="1">
        <v>3900</v>
      </c>
      <c r="B41" s="2">
        <v>4.1145833333333329E-3</v>
      </c>
      <c r="C41" s="2">
        <f t="shared" si="7"/>
        <v>1.3888888888888892E-4</v>
      </c>
      <c r="D41" s="5">
        <f t="shared" si="2"/>
        <v>3.9</v>
      </c>
      <c r="E41" s="4">
        <f t="shared" si="3"/>
        <v>355.49999999999994</v>
      </c>
      <c r="F41" s="3">
        <f t="shared" si="8"/>
        <v>30.000000000000025</v>
      </c>
      <c r="G41" s="3">
        <f t="shared" si="4"/>
        <v>0.25210084033613356</v>
      </c>
      <c r="H41" s="3" t="b">
        <f t="shared" si="5"/>
        <v>0</v>
      </c>
    </row>
    <row r="42" spans="1:8" x14ac:dyDescent="0.35">
      <c r="A42" s="1">
        <v>4000</v>
      </c>
      <c r="B42" s="2">
        <v>4.2534722222222219E-3</v>
      </c>
      <c r="C42" s="2">
        <f t="shared" si="7"/>
        <v>1.3888888888888892E-4</v>
      </c>
      <c r="D42" s="5">
        <f t="shared" si="2"/>
        <v>4</v>
      </c>
      <c r="E42" s="4">
        <f t="shared" si="3"/>
        <v>367.5</v>
      </c>
      <c r="F42" s="3">
        <f t="shared" si="8"/>
        <v>29.999999999999883</v>
      </c>
      <c r="G42" s="3">
        <f t="shared" si="4"/>
        <v>0.44943820224718678</v>
      </c>
      <c r="H42" s="3" t="b">
        <f t="shared" si="5"/>
        <v>1</v>
      </c>
    </row>
    <row r="43" spans="1:8" x14ac:dyDescent="0.35">
      <c r="A43" s="1">
        <v>4100</v>
      </c>
      <c r="B43" s="2">
        <v>4.3576388888888892E-3</v>
      </c>
      <c r="C43" s="2">
        <f t="shared" si="7"/>
        <v>1.0416666666666734E-4</v>
      </c>
      <c r="D43" s="5">
        <f t="shared" si="2"/>
        <v>4.0999999999999996</v>
      </c>
      <c r="E43" s="4">
        <f t="shared" si="3"/>
        <v>376.5</v>
      </c>
      <c r="F43" s="3">
        <f t="shared" si="8"/>
        <v>39.999999999999858</v>
      </c>
      <c r="G43" s="3">
        <f t="shared" si="4"/>
        <v>0.44943820224718678</v>
      </c>
      <c r="H43" s="3" t="b">
        <f t="shared" si="5"/>
        <v>0</v>
      </c>
    </row>
    <row r="44" spans="1:8" x14ac:dyDescent="0.35">
      <c r="A44" s="1">
        <v>4200</v>
      </c>
      <c r="B44" s="2">
        <v>4.4618055555555557E-3</v>
      </c>
      <c r="C44" s="2">
        <f t="shared" si="7"/>
        <v>1.0416666666666647E-4</v>
      </c>
      <c r="D44" s="5">
        <f t="shared" si="2"/>
        <v>4.2</v>
      </c>
      <c r="E44" s="4">
        <f t="shared" si="3"/>
        <v>385.5</v>
      </c>
      <c r="F44" s="3">
        <f t="shared" si="8"/>
        <v>40.000000000000213</v>
      </c>
      <c r="G44" s="3">
        <f t="shared" si="4"/>
        <v>0.44943820224718678</v>
      </c>
      <c r="H44" s="3" t="b">
        <f t="shared" si="5"/>
        <v>0</v>
      </c>
    </row>
    <row r="45" spans="1:8" x14ac:dyDescent="0.35">
      <c r="A45" s="1">
        <v>4300</v>
      </c>
      <c r="B45" s="2">
        <v>4.5659722222222221E-3</v>
      </c>
      <c r="C45" s="2">
        <f t="shared" si="7"/>
        <v>1.0416666666666647E-4</v>
      </c>
      <c r="D45" s="5">
        <f t="shared" si="2"/>
        <v>4.3</v>
      </c>
      <c r="E45" s="4">
        <f t="shared" si="3"/>
        <v>394.5</v>
      </c>
      <c r="F45" s="3">
        <f t="shared" si="8"/>
        <v>39.999999999999858</v>
      </c>
      <c r="G45" s="3">
        <f t="shared" si="4"/>
        <v>0.55555555555555003</v>
      </c>
      <c r="H45" s="3" t="b">
        <f t="shared" si="5"/>
        <v>1</v>
      </c>
    </row>
    <row r="46" spans="1:8" x14ac:dyDescent="0.35">
      <c r="A46" s="1">
        <v>4400</v>
      </c>
      <c r="B46" s="2">
        <v>4.6597222222222222E-3</v>
      </c>
      <c r="C46" s="2">
        <f t="shared" si="7"/>
        <v>9.3750000000000083E-5</v>
      </c>
      <c r="D46" s="5">
        <f t="shared" si="2"/>
        <v>4.4000000000000004</v>
      </c>
      <c r="E46" s="4">
        <f t="shared" si="3"/>
        <v>402.6</v>
      </c>
      <c r="F46" s="3">
        <f t="shared" si="8"/>
        <v>44.444444444444557</v>
      </c>
      <c r="G46" s="3">
        <f t="shared" si="4"/>
        <v>0.70422535211267956</v>
      </c>
      <c r="H46" s="3" t="b">
        <f t="shared" si="5"/>
        <v>1</v>
      </c>
    </row>
    <row r="47" spans="1:8" x14ac:dyDescent="0.35">
      <c r="A47" s="1">
        <v>4500</v>
      </c>
      <c r="B47" s="2">
        <v>4.7430555555555559E-3</v>
      </c>
      <c r="C47" s="2">
        <f t="shared" si="7"/>
        <v>8.3333333333333696E-5</v>
      </c>
      <c r="D47" s="5">
        <f t="shared" si="2"/>
        <v>4.5</v>
      </c>
      <c r="E47" s="4">
        <f t="shared" si="3"/>
        <v>409.8</v>
      </c>
      <c r="F47" s="3">
        <f t="shared" si="8"/>
        <v>49.999999999999901</v>
      </c>
      <c r="G47" s="3">
        <f t="shared" si="4"/>
        <v>0.70422535211267956</v>
      </c>
      <c r="H47" s="3" t="b">
        <f t="shared" si="5"/>
        <v>0</v>
      </c>
    </row>
    <row r="48" spans="1:8" x14ac:dyDescent="0.35">
      <c r="A48" s="1">
        <v>4600</v>
      </c>
      <c r="B48" s="2">
        <v>4.8263888888888887E-3</v>
      </c>
      <c r="C48" s="2">
        <f t="shared" si="7"/>
        <v>8.3333333333332829E-5</v>
      </c>
      <c r="D48" s="5">
        <f t="shared" si="2"/>
        <v>4.5999999999999996</v>
      </c>
      <c r="E48" s="4">
        <f t="shared" si="3"/>
        <v>417</v>
      </c>
      <c r="F48" s="3">
        <f t="shared" si="8"/>
        <v>49.999999999999901</v>
      </c>
      <c r="G48" s="3">
        <f t="shared" si="4"/>
        <v>0.70422535211266535</v>
      </c>
      <c r="H48" s="3" t="b">
        <f t="shared" si="5"/>
        <v>0</v>
      </c>
    </row>
    <row r="49" spans="1:8" x14ac:dyDescent="0.35">
      <c r="A49" s="1">
        <v>4700</v>
      </c>
      <c r="B49" s="2">
        <v>4.9097222222222224E-3</v>
      </c>
      <c r="C49" s="2">
        <f t="shared" si="7"/>
        <v>8.3333333333333696E-5</v>
      </c>
      <c r="D49" s="5">
        <f t="shared" si="2"/>
        <v>4.7</v>
      </c>
      <c r="E49" s="4">
        <f t="shared" si="3"/>
        <v>424.20000000000005</v>
      </c>
      <c r="F49" s="3">
        <f t="shared" si="8"/>
        <v>49.99999999999995</v>
      </c>
      <c r="G49" s="3">
        <f t="shared" si="4"/>
        <v>0.70422535211267956</v>
      </c>
      <c r="H49" s="3" t="b">
        <f t="shared" si="5"/>
        <v>0</v>
      </c>
    </row>
    <row r="50" spans="1:8" x14ac:dyDescent="0.35">
      <c r="A50" s="1">
        <v>4800</v>
      </c>
      <c r="B50" s="2">
        <v>4.9930555555555553E-3</v>
      </c>
      <c r="C50" s="2">
        <f t="shared" si="7"/>
        <v>8.3333333333332829E-5</v>
      </c>
      <c r="D50" s="5">
        <f t="shared" si="2"/>
        <v>4.8</v>
      </c>
      <c r="E50" s="4">
        <f t="shared" si="3"/>
        <v>431.4</v>
      </c>
      <c r="F50" s="3">
        <f t="shared" si="8"/>
        <v>50.000000000000298</v>
      </c>
      <c r="G50" s="3">
        <f t="shared" si="4"/>
        <v>0.70422535211266535</v>
      </c>
      <c r="H50" s="3" t="b">
        <f t="shared" si="5"/>
        <v>0</v>
      </c>
    </row>
    <row r="51" spans="1:8" x14ac:dyDescent="0.35">
      <c r="A51" s="1">
        <v>4900</v>
      </c>
      <c r="B51" s="2">
        <v>5.076388888888889E-3</v>
      </c>
      <c r="C51" s="2">
        <f t="shared" si="7"/>
        <v>8.3333333333333696E-5</v>
      </c>
      <c r="D51" s="5">
        <f t="shared" si="2"/>
        <v>4.9000000000000004</v>
      </c>
      <c r="E51" s="4">
        <f t="shared" si="3"/>
        <v>438.6</v>
      </c>
      <c r="F51" s="3">
        <f t="shared" si="8"/>
        <v>49.99999999999995</v>
      </c>
      <c r="G51" s="3">
        <f t="shared" si="4"/>
        <v>0.70422535211265824</v>
      </c>
      <c r="H51" s="3" t="b">
        <f t="shared" si="5"/>
        <v>0</v>
      </c>
    </row>
    <row r="52" spans="1:8" x14ac:dyDescent="0.35">
      <c r="A52" s="1">
        <v>5000</v>
      </c>
      <c r="B52" s="2">
        <v>5.1597222222222227E-3</v>
      </c>
      <c r="C52" s="2">
        <f t="shared" si="7"/>
        <v>8.3333333333333696E-5</v>
      </c>
      <c r="D52" s="5">
        <f t="shared" si="2"/>
        <v>5</v>
      </c>
      <c r="E52" s="4">
        <f t="shared" si="3"/>
        <v>445.80000000000007</v>
      </c>
      <c r="F52" s="3">
        <f t="shared" si="8"/>
        <v>49.99999999999951</v>
      </c>
      <c r="G52" s="3">
        <f t="shared" si="4"/>
        <v>0.70422535211269377</v>
      </c>
      <c r="H52" s="3" t="b">
        <f t="shared" si="5"/>
        <v>0</v>
      </c>
    </row>
    <row r="53" spans="1:8" x14ac:dyDescent="0.35">
      <c r="A53" s="1">
        <v>5100</v>
      </c>
      <c r="B53" s="2">
        <v>5.2430555555555555E-3</v>
      </c>
      <c r="C53" s="2">
        <f t="shared" si="7"/>
        <v>8.3333333333332829E-5</v>
      </c>
      <c r="D53" s="5">
        <f t="shared" si="2"/>
        <v>5.0999999999999996</v>
      </c>
      <c r="E53" s="4">
        <f t="shared" si="3"/>
        <v>452.99999999999994</v>
      </c>
      <c r="F53" s="3">
        <f t="shared" si="8"/>
        <v>50.000000000000689</v>
      </c>
      <c r="G53" s="3">
        <f t="shared" si="4"/>
        <v>0.70422535211264403</v>
      </c>
      <c r="H53" s="3" t="b">
        <f t="shared" si="5"/>
        <v>0</v>
      </c>
    </row>
    <row r="54" spans="1:8" x14ac:dyDescent="0.35">
      <c r="A54" s="1">
        <v>5200</v>
      </c>
      <c r="B54" s="2">
        <v>5.3263888888888892E-3</v>
      </c>
      <c r="C54" s="2">
        <f t="shared" si="7"/>
        <v>8.3333333333333696E-5</v>
      </c>
      <c r="D54" s="5">
        <f t="shared" si="2"/>
        <v>5.2</v>
      </c>
      <c r="E54" s="4">
        <f t="shared" si="3"/>
        <v>460.2000000000001</v>
      </c>
      <c r="F54" s="3">
        <f t="shared" si="8"/>
        <v>49.999999999999162</v>
      </c>
      <c r="G54" s="3">
        <f t="shared" si="4"/>
        <v>0.70422535211269377</v>
      </c>
      <c r="H54" s="3" t="b">
        <f t="shared" si="5"/>
        <v>0</v>
      </c>
    </row>
    <row r="55" spans="1:8" x14ac:dyDescent="0.35">
      <c r="A55" s="1">
        <v>5300</v>
      </c>
      <c r="B55" s="2">
        <v>5.409722222222222E-3</v>
      </c>
      <c r="C55" s="2">
        <f t="shared" si="7"/>
        <v>8.3333333333332829E-5</v>
      </c>
      <c r="D55" s="5">
        <f t="shared" si="2"/>
        <v>5.3</v>
      </c>
      <c r="E55" s="4">
        <f t="shared" si="3"/>
        <v>467.4</v>
      </c>
      <c r="F55" s="3">
        <f t="shared" si="8"/>
        <v>50.000000000000689</v>
      </c>
      <c r="G55" s="3">
        <f t="shared" si="4"/>
        <v>0.70422535211268666</v>
      </c>
      <c r="H55" s="3" t="b">
        <f t="shared" si="5"/>
        <v>0</v>
      </c>
    </row>
    <row r="56" spans="1:8" x14ac:dyDescent="0.35">
      <c r="A56" s="1">
        <v>5400</v>
      </c>
      <c r="B56" s="2">
        <v>5.4930555555555557E-3</v>
      </c>
      <c r="C56" s="2">
        <f t="shared" si="7"/>
        <v>8.3333333333333696E-5</v>
      </c>
      <c r="D56" s="5">
        <f t="shared" si="2"/>
        <v>5.4</v>
      </c>
      <c r="E56" s="4">
        <f t="shared" si="3"/>
        <v>474.59999999999997</v>
      </c>
      <c r="F56" s="3">
        <f t="shared" si="8"/>
        <v>50.000000000000341</v>
      </c>
      <c r="G56" s="3">
        <f t="shared" si="4"/>
        <v>0.70422535211264403</v>
      </c>
      <c r="H56" s="3" t="b">
        <f t="shared" si="5"/>
        <v>0</v>
      </c>
    </row>
    <row r="57" spans="1:8" x14ac:dyDescent="0.35">
      <c r="A57" s="1">
        <v>5500</v>
      </c>
      <c r="B57" s="2">
        <v>5.5763888888888894E-3</v>
      </c>
      <c r="C57" s="2">
        <f t="shared" si="7"/>
        <v>8.3333333333333696E-5</v>
      </c>
      <c r="D57" s="5">
        <f t="shared" si="2"/>
        <v>5.5</v>
      </c>
      <c r="E57" s="4">
        <f t="shared" si="3"/>
        <v>481.80000000000007</v>
      </c>
      <c r="F57" s="3">
        <f t="shared" si="8"/>
        <v>49.999999999999119</v>
      </c>
      <c r="G57" s="3">
        <f t="shared" si="4"/>
        <v>0.70422535211267956</v>
      </c>
      <c r="H57" s="3" t="b">
        <f t="shared" si="5"/>
        <v>0</v>
      </c>
    </row>
    <row r="58" spans="1:8" x14ac:dyDescent="0.35">
      <c r="A58" s="1">
        <v>5600</v>
      </c>
      <c r="B58" s="2">
        <v>5.6597222222222222E-3</v>
      </c>
      <c r="C58" s="2">
        <f t="shared" si="7"/>
        <v>8.3333333333332829E-5</v>
      </c>
      <c r="D58" s="5">
        <f t="shared" si="2"/>
        <v>5.6</v>
      </c>
      <c r="E58" s="4">
        <f t="shared" si="3"/>
        <v>489</v>
      </c>
      <c r="F58" s="3">
        <f t="shared" si="8"/>
        <v>50.000000000000298</v>
      </c>
      <c r="G58" s="3">
        <f t="shared" si="4"/>
        <v>0.70422535211269377</v>
      </c>
      <c r="H58" s="3" t="b">
        <f t="shared" si="5"/>
        <v>0</v>
      </c>
    </row>
    <row r="59" spans="1:8" x14ac:dyDescent="0.35">
      <c r="A59" s="1">
        <v>5700</v>
      </c>
      <c r="B59" s="2">
        <v>5.7430555555555551E-3</v>
      </c>
      <c r="C59" s="2">
        <f t="shared" si="7"/>
        <v>8.3333333333332829E-5</v>
      </c>
      <c r="D59" s="5">
        <f t="shared" si="2"/>
        <v>5.7</v>
      </c>
      <c r="E59" s="4">
        <f t="shared" si="3"/>
        <v>496.19999999999993</v>
      </c>
      <c r="F59" s="3">
        <f t="shared" si="8"/>
        <v>50.000000000000739</v>
      </c>
      <c r="G59" s="3">
        <f t="shared" si="4"/>
        <v>0.70422535211264403</v>
      </c>
      <c r="H59" s="3" t="b">
        <f t="shared" si="5"/>
        <v>0</v>
      </c>
    </row>
    <row r="60" spans="1:8" x14ac:dyDescent="0.35">
      <c r="A60" s="1">
        <v>5800</v>
      </c>
      <c r="B60" s="2">
        <v>5.8263888888888888E-3</v>
      </c>
      <c r="C60" s="2">
        <f t="shared" si="7"/>
        <v>8.3333333333333696E-5</v>
      </c>
      <c r="D60" s="5">
        <f t="shared" si="2"/>
        <v>5.8</v>
      </c>
      <c r="E60" s="4">
        <f t="shared" si="3"/>
        <v>503.40000000000003</v>
      </c>
      <c r="F60" s="3">
        <f t="shared" si="8"/>
        <v>49.999999999999119</v>
      </c>
      <c r="G60" s="3">
        <f t="shared" si="4"/>
        <v>0.70422535211268666</v>
      </c>
      <c r="H60" s="3" t="b">
        <f t="shared" si="5"/>
        <v>0</v>
      </c>
    </row>
    <row r="61" spans="1:8" x14ac:dyDescent="0.35">
      <c r="A61" s="1">
        <v>5900</v>
      </c>
      <c r="B61" s="2">
        <v>5.9097222222222225E-3</v>
      </c>
      <c r="C61" s="2">
        <f t="shared" si="7"/>
        <v>8.3333333333333696E-5</v>
      </c>
      <c r="D61" s="5">
        <f t="shared" si="2"/>
        <v>5.9</v>
      </c>
      <c r="E61" s="4">
        <f t="shared" si="3"/>
        <v>510.6</v>
      </c>
      <c r="F61" s="3">
        <f t="shared" si="8"/>
        <v>50.000000000000341</v>
      </c>
      <c r="G61" s="3">
        <f t="shared" si="4"/>
        <v>0.70422535211267956</v>
      </c>
      <c r="H61" s="3" t="b">
        <f t="shared" si="5"/>
        <v>0</v>
      </c>
    </row>
    <row r="62" spans="1:8" x14ac:dyDescent="0.35">
      <c r="A62" s="1">
        <v>6000</v>
      </c>
      <c r="B62" s="2">
        <v>5.9930555555555553E-3</v>
      </c>
      <c r="C62" s="2">
        <f t="shared" si="7"/>
        <v>8.3333333333332829E-5</v>
      </c>
      <c r="D62" s="5">
        <f t="shared" si="2"/>
        <v>6</v>
      </c>
      <c r="E62" s="4">
        <f t="shared" si="3"/>
        <v>517.79999999999995</v>
      </c>
      <c r="F62" s="3">
        <f t="shared" si="8"/>
        <v>50.000000000000298</v>
      </c>
      <c r="G62" s="3">
        <f t="shared" si="4"/>
        <v>0.70422535211265824</v>
      </c>
      <c r="H62" s="3" t="b">
        <f t="shared" si="5"/>
        <v>0</v>
      </c>
    </row>
    <row r="63" spans="1:8" x14ac:dyDescent="0.35">
      <c r="A63" s="1">
        <v>6100</v>
      </c>
      <c r="B63" s="2">
        <v>6.076388888888889E-3</v>
      </c>
      <c r="C63" s="2">
        <f t="shared" si="7"/>
        <v>8.3333333333333696E-5</v>
      </c>
      <c r="D63" s="5">
        <f t="shared" si="2"/>
        <v>6.1</v>
      </c>
      <c r="E63" s="4">
        <f t="shared" si="3"/>
        <v>525</v>
      </c>
      <c r="F63" s="3">
        <f t="shared" si="8"/>
        <v>49.99999999999951</v>
      </c>
      <c r="G63" s="3">
        <f t="shared" si="4"/>
        <v>0.70422535211266535</v>
      </c>
      <c r="H63" s="3" t="b">
        <f t="shared" si="5"/>
        <v>0</v>
      </c>
    </row>
    <row r="64" spans="1:8" x14ac:dyDescent="0.35">
      <c r="A64" s="1">
        <v>6200</v>
      </c>
      <c r="B64" s="2">
        <v>6.1597222222222227E-3</v>
      </c>
      <c r="C64" s="2">
        <f t="shared" si="7"/>
        <v>8.3333333333333696E-5</v>
      </c>
      <c r="D64" s="5">
        <f t="shared" si="2"/>
        <v>6.2</v>
      </c>
      <c r="E64" s="4">
        <f t="shared" si="3"/>
        <v>532.20000000000005</v>
      </c>
      <c r="F64" s="3">
        <f t="shared" si="8"/>
        <v>49.99999999999995</v>
      </c>
      <c r="G64" s="3">
        <f t="shared" si="4"/>
        <v>0.70422535211267956</v>
      </c>
      <c r="H64" s="3" t="b">
        <f t="shared" si="5"/>
        <v>0</v>
      </c>
    </row>
    <row r="65" spans="1:8" x14ac:dyDescent="0.35">
      <c r="A65" s="1">
        <v>6300</v>
      </c>
      <c r="B65" s="2">
        <v>6.2430555555555555E-3</v>
      </c>
      <c r="C65" s="2">
        <f t="shared" si="7"/>
        <v>8.3333333333332829E-5</v>
      </c>
      <c r="D65" s="5">
        <f t="shared" si="2"/>
        <v>6.3</v>
      </c>
      <c r="E65" s="4">
        <f t="shared" si="3"/>
        <v>539.4</v>
      </c>
      <c r="F65" s="3">
        <f t="shared" si="8"/>
        <v>50.000000000000298</v>
      </c>
      <c r="G65" s="3">
        <f t="shared" si="4"/>
        <v>0.70422535211266535</v>
      </c>
      <c r="H65" s="3" t="b">
        <f t="shared" si="5"/>
        <v>0</v>
      </c>
    </row>
    <row r="66" spans="1:8" x14ac:dyDescent="0.35">
      <c r="A66" s="1">
        <v>6400</v>
      </c>
      <c r="B66" s="2">
        <v>6.3263888888888892E-3</v>
      </c>
      <c r="C66" s="2">
        <f t="shared" si="7"/>
        <v>8.3333333333333696E-5</v>
      </c>
      <c r="D66" s="5">
        <f t="shared" si="2"/>
        <v>6.4</v>
      </c>
      <c r="E66" s="4">
        <f t="shared" si="3"/>
        <v>546.6</v>
      </c>
      <c r="F66" s="3">
        <f t="shared" si="8"/>
        <v>49.99999999999995</v>
      </c>
      <c r="G66" s="3">
        <f t="shared" si="4"/>
        <v>0.70422535211267956</v>
      </c>
      <c r="H66" s="3" t="b">
        <f t="shared" si="5"/>
        <v>0</v>
      </c>
    </row>
    <row r="67" spans="1:8" x14ac:dyDescent="0.35">
      <c r="A67" s="1">
        <v>6500</v>
      </c>
      <c r="B67" s="2">
        <v>6.409722222222222E-3</v>
      </c>
      <c r="C67" s="2">
        <f t="shared" si="7"/>
        <v>8.3333333333332829E-5</v>
      </c>
      <c r="D67" s="5">
        <f t="shared" ref="D67:D77" si="10">A67/1000</f>
        <v>6.5</v>
      </c>
      <c r="E67" s="4">
        <f t="shared" ref="E67:E77" si="11">B67*24*3600</f>
        <v>553.79999999999995</v>
      </c>
      <c r="F67" s="3">
        <f t="shared" si="8"/>
        <v>50.000000000000298</v>
      </c>
      <c r="G67" s="3">
        <f t="shared" ref="G67:G130" si="12">(D68-D67)/((E68-E67 -0.1)/3600) -F68</f>
        <v>0.70422535211265824</v>
      </c>
      <c r="H67" s="3" t="b">
        <f t="shared" ref="H67:H96" si="13">ABS(F68-F67) &gt;=G67</f>
        <v>0</v>
      </c>
    </row>
    <row r="68" spans="1:8" x14ac:dyDescent="0.35">
      <c r="A68" s="1">
        <v>6600</v>
      </c>
      <c r="B68" s="2">
        <v>6.4930555555555557E-3</v>
      </c>
      <c r="C68" s="2">
        <f t="shared" ref="C68:C77" si="14">(B68-B67)</f>
        <v>8.3333333333333696E-5</v>
      </c>
      <c r="D68" s="5">
        <f t="shared" si="10"/>
        <v>6.6</v>
      </c>
      <c r="E68" s="4">
        <f t="shared" si="11"/>
        <v>561</v>
      </c>
      <c r="F68" s="3">
        <f t="shared" ref="F68:F77" si="15">(D68-D67)/((E68-E67)/3600)</f>
        <v>49.99999999999951</v>
      </c>
      <c r="G68" s="3">
        <f t="shared" si="12"/>
        <v>0.70422535211266535</v>
      </c>
      <c r="H68" s="3" t="b">
        <f t="shared" si="13"/>
        <v>0</v>
      </c>
    </row>
    <row r="69" spans="1:8" x14ac:dyDescent="0.35">
      <c r="A69" s="1">
        <v>6700</v>
      </c>
      <c r="B69" s="2">
        <v>6.5763888888888894E-3</v>
      </c>
      <c r="C69" s="2">
        <f t="shared" si="14"/>
        <v>8.3333333333333696E-5</v>
      </c>
      <c r="D69" s="5">
        <f t="shared" si="10"/>
        <v>6.7</v>
      </c>
      <c r="E69" s="4">
        <f t="shared" si="11"/>
        <v>568.20000000000005</v>
      </c>
      <c r="F69" s="3">
        <f t="shared" si="15"/>
        <v>49.99999999999995</v>
      </c>
      <c r="G69" s="3">
        <f t="shared" si="12"/>
        <v>0.70422535211267956</v>
      </c>
      <c r="H69" s="3" t="b">
        <f t="shared" si="13"/>
        <v>0</v>
      </c>
    </row>
    <row r="70" spans="1:8" x14ac:dyDescent="0.35">
      <c r="A70" s="1">
        <v>6800</v>
      </c>
      <c r="B70" s="2">
        <v>6.6597222222222223E-3</v>
      </c>
      <c r="C70" s="2">
        <f t="shared" si="14"/>
        <v>8.3333333333332829E-5</v>
      </c>
      <c r="D70" s="5">
        <f t="shared" si="10"/>
        <v>6.8</v>
      </c>
      <c r="E70" s="4">
        <f t="shared" si="11"/>
        <v>575.4</v>
      </c>
      <c r="F70" s="3">
        <f t="shared" si="15"/>
        <v>50.000000000000298</v>
      </c>
      <c r="G70" s="3">
        <f t="shared" si="12"/>
        <v>0.70422535211266535</v>
      </c>
      <c r="H70" s="3" t="b">
        <f t="shared" si="13"/>
        <v>0</v>
      </c>
    </row>
    <row r="71" spans="1:8" x14ac:dyDescent="0.35">
      <c r="A71" s="1">
        <v>6900</v>
      </c>
      <c r="B71" s="2">
        <v>6.743055555555556E-3</v>
      </c>
      <c r="C71" s="2">
        <f t="shared" si="14"/>
        <v>8.3333333333333696E-5</v>
      </c>
      <c r="D71" s="5">
        <f t="shared" si="10"/>
        <v>6.9</v>
      </c>
      <c r="E71" s="4">
        <f t="shared" si="11"/>
        <v>582.6</v>
      </c>
      <c r="F71" s="3">
        <f t="shared" si="15"/>
        <v>49.99999999999995</v>
      </c>
      <c r="G71" s="3">
        <f t="shared" si="12"/>
        <v>0.70422535211267956</v>
      </c>
      <c r="H71" s="3" t="b">
        <f t="shared" si="13"/>
        <v>0</v>
      </c>
    </row>
    <row r="72" spans="1:8" x14ac:dyDescent="0.35">
      <c r="A72" s="1">
        <v>7000</v>
      </c>
      <c r="B72" s="2">
        <v>6.8263888888888888E-3</v>
      </c>
      <c r="C72" s="2">
        <f t="shared" si="14"/>
        <v>8.3333333333332829E-5</v>
      </c>
      <c r="D72" s="5">
        <f t="shared" si="10"/>
        <v>7</v>
      </c>
      <c r="E72" s="4">
        <f t="shared" si="11"/>
        <v>589.79999999999995</v>
      </c>
      <c r="F72" s="3">
        <f t="shared" si="15"/>
        <v>50.000000000000298</v>
      </c>
      <c r="G72" s="3">
        <f t="shared" si="12"/>
        <v>0.70422535211265824</v>
      </c>
      <c r="H72" s="3" t="b">
        <f t="shared" si="13"/>
        <v>0</v>
      </c>
    </row>
    <row r="73" spans="1:8" x14ac:dyDescent="0.35">
      <c r="A73" s="1">
        <v>7100</v>
      </c>
      <c r="B73" s="2">
        <v>6.9097222222222225E-3</v>
      </c>
      <c r="C73" s="2">
        <f t="shared" si="14"/>
        <v>8.3333333333333696E-5</v>
      </c>
      <c r="D73" s="5">
        <f t="shared" si="10"/>
        <v>7.1</v>
      </c>
      <c r="E73" s="4">
        <f t="shared" si="11"/>
        <v>597</v>
      </c>
      <c r="F73" s="3">
        <f t="shared" si="15"/>
        <v>49.99999999999951</v>
      </c>
      <c r="G73" s="3">
        <f t="shared" si="12"/>
        <v>0.70422535211266535</v>
      </c>
      <c r="H73" s="3" t="b">
        <f t="shared" si="13"/>
        <v>0</v>
      </c>
    </row>
    <row r="74" spans="1:8" x14ac:dyDescent="0.35">
      <c r="A74" s="1">
        <v>7200</v>
      </c>
      <c r="B74" s="2">
        <v>6.9930555555555562E-3</v>
      </c>
      <c r="C74" s="2">
        <f t="shared" si="14"/>
        <v>8.3333333333333696E-5</v>
      </c>
      <c r="D74" s="5">
        <f t="shared" si="10"/>
        <v>7.2</v>
      </c>
      <c r="E74" s="4">
        <f t="shared" si="11"/>
        <v>604.20000000000005</v>
      </c>
      <c r="F74" s="3">
        <f t="shared" si="15"/>
        <v>49.99999999999995</v>
      </c>
      <c r="G74" s="3">
        <f t="shared" si="12"/>
        <v>0.70422535211267956</v>
      </c>
      <c r="H74" s="3" t="b">
        <f t="shared" si="13"/>
        <v>0</v>
      </c>
    </row>
    <row r="75" spans="1:8" x14ac:dyDescent="0.35">
      <c r="A75" s="1">
        <v>7300</v>
      </c>
      <c r="B75" s="2">
        <v>7.076388888888889E-3</v>
      </c>
      <c r="C75" s="2">
        <f t="shared" si="14"/>
        <v>8.3333333333332829E-5</v>
      </c>
      <c r="D75" s="5">
        <f t="shared" si="10"/>
        <v>7.3</v>
      </c>
      <c r="E75" s="4">
        <f t="shared" si="11"/>
        <v>611.4</v>
      </c>
      <c r="F75" s="3">
        <f t="shared" si="15"/>
        <v>50.000000000000298</v>
      </c>
      <c r="G75" s="3">
        <f t="shared" si="12"/>
        <v>0.70422535211266535</v>
      </c>
      <c r="H75" s="3" t="b">
        <f t="shared" si="13"/>
        <v>0</v>
      </c>
    </row>
    <row r="76" spans="1:8" x14ac:dyDescent="0.35">
      <c r="A76" s="1">
        <v>7400</v>
      </c>
      <c r="B76" s="2">
        <v>7.1597222222222227E-3</v>
      </c>
      <c r="C76" s="2">
        <f t="shared" si="14"/>
        <v>8.3333333333333696E-5</v>
      </c>
      <c r="D76" s="5">
        <f t="shared" si="10"/>
        <v>7.4</v>
      </c>
      <c r="E76" s="4">
        <f t="shared" si="11"/>
        <v>618.6</v>
      </c>
      <c r="F76" s="3">
        <f t="shared" si="15"/>
        <v>49.99999999999995</v>
      </c>
      <c r="G76" s="3">
        <f t="shared" si="12"/>
        <v>4.3636363636368927</v>
      </c>
      <c r="H76" s="3" t="b">
        <f t="shared" si="13"/>
        <v>0</v>
      </c>
    </row>
    <row r="77" spans="1:8" x14ac:dyDescent="0.35">
      <c r="A77" s="1">
        <v>7416</v>
      </c>
      <c r="B77" s="2">
        <v>7.1736111111111106E-3</v>
      </c>
      <c r="C77" s="2">
        <f t="shared" si="14"/>
        <v>1.3888888888887937E-5</v>
      </c>
      <c r="D77" s="5">
        <f t="shared" si="10"/>
        <v>7.4160000000000004</v>
      </c>
      <c r="E77" s="4">
        <f t="shared" si="11"/>
        <v>619.79999999999995</v>
      </c>
      <c r="F77" s="3">
        <f t="shared" si="15"/>
        <v>48.000000000002771</v>
      </c>
      <c r="G77" s="3">
        <f t="shared" si="12"/>
        <v>43.067591547023717</v>
      </c>
      <c r="H77" s="3" t="b">
        <f t="shared" si="13"/>
        <v>1</v>
      </c>
    </row>
    <row r="78" spans="1:8" x14ac:dyDescent="0.35">
      <c r="G78" s="3"/>
      <c r="H78" s="3"/>
    </row>
    <row r="79" spans="1:8" x14ac:dyDescent="0.35">
      <c r="G79" s="3"/>
      <c r="H79" s="3"/>
    </row>
    <row r="80" spans="1:8" x14ac:dyDescent="0.35">
      <c r="G80" s="3"/>
      <c r="H80" s="3"/>
    </row>
    <row r="81" spans="7:8" x14ac:dyDescent="0.35">
      <c r="G81" s="3"/>
      <c r="H81" s="3"/>
    </row>
    <row r="82" spans="7:8" x14ac:dyDescent="0.35">
      <c r="G82" s="3"/>
      <c r="H82" s="3"/>
    </row>
    <row r="83" spans="7:8" x14ac:dyDescent="0.35">
      <c r="G83" s="3"/>
      <c r="H83" s="3"/>
    </row>
    <row r="84" spans="7:8" x14ac:dyDescent="0.35">
      <c r="G84" s="3"/>
      <c r="H84" s="3"/>
    </row>
    <row r="85" spans="7:8" x14ac:dyDescent="0.35">
      <c r="G85" s="3"/>
      <c r="H85" s="3"/>
    </row>
    <row r="86" spans="7:8" x14ac:dyDescent="0.35">
      <c r="G86" s="3"/>
      <c r="H86" s="3"/>
    </row>
    <row r="87" spans="7:8" x14ac:dyDescent="0.35">
      <c r="G87" s="3"/>
      <c r="H87" s="3"/>
    </row>
    <row r="88" spans="7:8" x14ac:dyDescent="0.35">
      <c r="G88" s="3"/>
      <c r="H88" s="3"/>
    </row>
    <row r="89" spans="7:8" x14ac:dyDescent="0.35">
      <c r="G89" s="3"/>
      <c r="H89" s="3"/>
    </row>
    <row r="90" spans="7:8" x14ac:dyDescent="0.35">
      <c r="G90" s="3"/>
      <c r="H90" s="3"/>
    </row>
    <row r="91" spans="7:8" x14ac:dyDescent="0.35">
      <c r="G91" s="3"/>
      <c r="H91" s="3"/>
    </row>
    <row r="92" spans="7:8" x14ac:dyDescent="0.35">
      <c r="G92" s="3"/>
      <c r="H92" s="3"/>
    </row>
    <row r="93" spans="7:8" x14ac:dyDescent="0.35">
      <c r="G93" s="3"/>
      <c r="H93" s="3"/>
    </row>
    <row r="94" spans="7:8" x14ac:dyDescent="0.35">
      <c r="G94" s="3"/>
      <c r="H94" s="3"/>
    </row>
    <row r="95" spans="7:8" x14ac:dyDescent="0.35">
      <c r="G95" s="3"/>
      <c r="H95" s="3"/>
    </row>
    <row r="96" spans="7:8" x14ac:dyDescent="0.35">
      <c r="G96" s="3"/>
      <c r="H96" s="3"/>
    </row>
  </sheetData>
  <conditionalFormatting sqref="F2:F77">
    <cfRule type="colorScale" priority="3">
      <colorScale>
        <cfvo type="num" val="20"/>
        <cfvo type="num" val="35"/>
        <cfvo type="num" val="50"/>
        <color rgb="FFF8696B"/>
        <color rgb="FFFCFCFF"/>
        <color rgb="FF63BE7B"/>
      </colorScale>
    </cfRule>
  </conditionalFormatting>
  <conditionalFormatting sqref="H1:H1048576">
    <cfRule type="cellIs" dxfId="0" priority="1" operator="equal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2F398-6772-4FF9-96DA-5A74866BDB36}">
  <dimension ref="A1:P9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" sqref="G1:H1048576"/>
    </sheetView>
  </sheetViews>
  <sheetFormatPr defaultRowHeight="14.5" x14ac:dyDescent="0.35"/>
  <cols>
    <col min="1" max="1" width="12.6328125" bestFit="1" customWidth="1"/>
    <col min="2" max="2" width="15.90625" bestFit="1" customWidth="1"/>
    <col min="3" max="3" width="15.90625" customWidth="1"/>
    <col min="6" max="6" width="9.36328125" bestFit="1" customWidth="1"/>
    <col min="7" max="8" width="9.36328125" customWidth="1"/>
    <col min="12" max="12" width="8.90625" bestFit="1" customWidth="1"/>
  </cols>
  <sheetData>
    <row r="1" spans="1:16" s="6" customFormat="1" ht="31.5" customHeight="1" x14ac:dyDescent="0.35">
      <c r="A1" s="6" t="s">
        <v>0</v>
      </c>
      <c r="B1" s="6" t="s">
        <v>10</v>
      </c>
      <c r="C1" s="6" t="s">
        <v>5</v>
      </c>
      <c r="D1" s="6" t="s">
        <v>2</v>
      </c>
      <c r="E1" s="6" t="s">
        <v>3</v>
      </c>
      <c r="F1" s="6" t="s">
        <v>4</v>
      </c>
      <c r="G1" s="6" t="s">
        <v>21</v>
      </c>
      <c r="J1" s="7" t="s">
        <v>8</v>
      </c>
      <c r="K1" s="7" t="s">
        <v>6</v>
      </c>
      <c r="L1" s="7" t="s">
        <v>4</v>
      </c>
      <c r="M1" s="7" t="s">
        <v>7</v>
      </c>
      <c r="O1" s="6" t="str">
        <f t="shared" ref="O1:O12" si="0">K1</f>
        <v>Distancia hasta</v>
      </c>
      <c r="P1" s="6" t="s">
        <v>9</v>
      </c>
    </row>
    <row r="2" spans="1:16" x14ac:dyDescent="0.35">
      <c r="A2" s="5">
        <v>0.1</v>
      </c>
      <c r="B2" s="2">
        <v>1.0416666666666667E-4</v>
      </c>
      <c r="C2" s="2">
        <v>0</v>
      </c>
      <c r="D2" s="5">
        <f>A2/1</f>
        <v>0.1</v>
      </c>
      <c r="E2" s="4">
        <f>B2*24*3600</f>
        <v>9</v>
      </c>
      <c r="F2" s="3">
        <f>F3</f>
        <v>40</v>
      </c>
      <c r="G2" s="3">
        <f>(D3-D2)/((E3-E2 -0.1)/3600) -F3</f>
        <v>0.44943820224718678</v>
      </c>
      <c r="H2" s="3" t="b">
        <f>ABS(F3-F2) &gt;=G2</f>
        <v>0</v>
      </c>
      <c r="J2" s="8">
        <v>0</v>
      </c>
      <c r="K2" s="9">
        <v>1.1000000000000001</v>
      </c>
      <c r="L2" s="10">
        <v>40</v>
      </c>
      <c r="M2" s="11">
        <f t="shared" ref="M2:M11" si="1">(K2-J2)/L2*3600</f>
        <v>99.000000000000014</v>
      </c>
      <c r="O2" s="5">
        <f t="shared" si="0"/>
        <v>1.1000000000000001</v>
      </c>
      <c r="P2" s="2">
        <f>M2/24/3600</f>
        <v>1.1458333333333336E-3</v>
      </c>
    </row>
    <row r="3" spans="1:16" x14ac:dyDescent="0.35">
      <c r="A3" s="5">
        <v>0.2</v>
      </c>
      <c r="B3" s="2">
        <v>2.0833333333333335E-4</v>
      </c>
      <c r="C3" s="2">
        <f>(B3-B2)</f>
        <v>1.0416666666666667E-4</v>
      </c>
      <c r="D3" s="5">
        <f t="shared" ref="D3:D66" si="2">A3/1</f>
        <v>0.2</v>
      </c>
      <c r="E3" s="4">
        <f t="shared" ref="E3:E66" si="3">B3*24*3600</f>
        <v>18</v>
      </c>
      <c r="F3" s="3">
        <f>(D3-D2)/((E3-E2)/3600)</f>
        <v>40</v>
      </c>
      <c r="G3" s="3">
        <f t="shared" ref="G3:G4" si="4">(D4-D3)/((E4-E3 -0.1)/3600) -F4</f>
        <v>0.44943820224718678</v>
      </c>
      <c r="H3" s="3" t="b">
        <f t="shared" ref="H3:H4" si="5">ABS(F4-F3) &gt;=G3</f>
        <v>0</v>
      </c>
      <c r="J3" s="9">
        <f>K2</f>
        <v>1.1000000000000001</v>
      </c>
      <c r="K3" s="9">
        <v>3.9</v>
      </c>
      <c r="L3" s="10">
        <v>50</v>
      </c>
      <c r="M3" s="11">
        <f t="shared" si="1"/>
        <v>201.59999999999997</v>
      </c>
      <c r="O3" s="5">
        <f t="shared" si="0"/>
        <v>3.9</v>
      </c>
      <c r="P3" s="2">
        <f t="shared" ref="P3:P12" si="6">P2+M3/24/3600</f>
        <v>3.4791666666666669E-3</v>
      </c>
    </row>
    <row r="4" spans="1:16" x14ac:dyDescent="0.35">
      <c r="A4" s="5">
        <v>0.3</v>
      </c>
      <c r="B4" s="2">
        <v>3.1250000000000001E-4</v>
      </c>
      <c r="C4" s="2">
        <f t="shared" ref="C4:C67" si="7">(B4-B3)</f>
        <v>1.0416666666666666E-4</v>
      </c>
      <c r="D4" s="5">
        <f t="shared" si="2"/>
        <v>0.3</v>
      </c>
      <c r="E4" s="4">
        <f t="shared" si="3"/>
        <v>27</v>
      </c>
      <c r="F4" s="3">
        <f t="shared" ref="F4:F67" si="8">(D4-D3)/((E4-E3)/3600)</f>
        <v>39.999999999999993</v>
      </c>
      <c r="G4" s="3">
        <f t="shared" si="4"/>
        <v>0.44943820224718678</v>
      </c>
      <c r="H4" s="3" t="b">
        <f t="shared" si="5"/>
        <v>0</v>
      </c>
      <c r="J4" s="9">
        <f t="shared" ref="J4:J12" si="9">K3</f>
        <v>3.9</v>
      </c>
      <c r="K4" s="9">
        <v>4</v>
      </c>
      <c r="L4" s="10">
        <v>41.86</v>
      </c>
      <c r="M4" s="11">
        <f t="shared" si="1"/>
        <v>8.600095556617303</v>
      </c>
      <c r="O4" s="5">
        <f t="shared" si="0"/>
        <v>4</v>
      </c>
      <c r="P4" s="2">
        <f t="shared" si="6"/>
        <v>3.5787048096830709E-3</v>
      </c>
    </row>
    <row r="5" spans="1:16" x14ac:dyDescent="0.35">
      <c r="A5" s="5">
        <v>0.4</v>
      </c>
      <c r="B5" s="2">
        <v>4.1666666666666669E-4</v>
      </c>
      <c r="C5" s="2">
        <f t="shared" si="7"/>
        <v>1.0416666666666669E-4</v>
      </c>
      <c r="D5" s="5">
        <f t="shared" si="2"/>
        <v>0.4</v>
      </c>
      <c r="E5" s="4">
        <f t="shared" si="3"/>
        <v>36</v>
      </c>
      <c r="F5" s="3">
        <f t="shared" si="8"/>
        <v>40.000000000000014</v>
      </c>
      <c r="G5" s="3">
        <f t="shared" ref="G5:G68" si="10">(D6-D5)/((E6-E5 -0.1)/3600) -F6</f>
        <v>0.44943820224718678</v>
      </c>
      <c r="H5" s="3" t="b">
        <f t="shared" ref="H5:H68" si="11">ABS(F6-F5) &gt;=G5</f>
        <v>0</v>
      </c>
      <c r="J5" s="9">
        <f t="shared" si="9"/>
        <v>4</v>
      </c>
      <c r="K5" s="9">
        <v>4.0999999999999996</v>
      </c>
      <c r="L5" s="10">
        <v>36.36</v>
      </c>
      <c r="M5" s="11">
        <f t="shared" si="1"/>
        <v>9.9009900990098654</v>
      </c>
      <c r="O5" s="5">
        <f t="shared" si="0"/>
        <v>4.0999999999999996</v>
      </c>
      <c r="P5" s="2">
        <f t="shared" si="6"/>
        <v>3.693299602495685E-3</v>
      </c>
    </row>
    <row r="6" spans="1:16" x14ac:dyDescent="0.35">
      <c r="A6" s="5">
        <v>0.5</v>
      </c>
      <c r="B6" s="2">
        <v>5.2083333333333333E-4</v>
      </c>
      <c r="C6" s="2">
        <f t="shared" si="7"/>
        <v>1.0416666666666663E-4</v>
      </c>
      <c r="D6" s="5">
        <f t="shared" si="2"/>
        <v>0.5</v>
      </c>
      <c r="E6" s="4">
        <f t="shared" si="3"/>
        <v>45</v>
      </c>
      <c r="F6" s="3">
        <f t="shared" si="8"/>
        <v>39.999999999999993</v>
      </c>
      <c r="G6" s="3">
        <f t="shared" si="10"/>
        <v>0.44943820224718678</v>
      </c>
      <c r="H6" s="3" t="b">
        <f t="shared" si="11"/>
        <v>0</v>
      </c>
      <c r="J6" s="9">
        <f t="shared" si="9"/>
        <v>4.0999999999999996</v>
      </c>
      <c r="K6" s="9">
        <v>4.5</v>
      </c>
      <c r="L6" s="10">
        <v>40</v>
      </c>
      <c r="M6" s="11">
        <f t="shared" si="1"/>
        <v>36.000000000000028</v>
      </c>
      <c r="O6" s="5">
        <f t="shared" si="0"/>
        <v>4.5</v>
      </c>
      <c r="P6" s="2">
        <f t="shared" si="6"/>
        <v>4.1099662691623517E-3</v>
      </c>
    </row>
    <row r="7" spans="1:16" x14ac:dyDescent="0.35">
      <c r="A7" s="5">
        <v>0.6</v>
      </c>
      <c r="B7" s="2">
        <v>6.2500000000000001E-4</v>
      </c>
      <c r="C7" s="2">
        <f t="shared" si="7"/>
        <v>1.0416666666666669E-4</v>
      </c>
      <c r="D7" s="5">
        <f t="shared" si="2"/>
        <v>0.6</v>
      </c>
      <c r="E7" s="4">
        <f t="shared" si="3"/>
        <v>54</v>
      </c>
      <c r="F7" s="3">
        <f t="shared" si="8"/>
        <v>39.999999999999993</v>
      </c>
      <c r="G7" s="3">
        <f t="shared" si="10"/>
        <v>0.44943820224718678</v>
      </c>
      <c r="H7" s="3" t="b">
        <f t="shared" si="11"/>
        <v>0</v>
      </c>
      <c r="J7" s="9">
        <f t="shared" si="9"/>
        <v>4.5</v>
      </c>
      <c r="K7" s="9">
        <v>4.8</v>
      </c>
      <c r="L7" s="10">
        <v>34.950000000000003</v>
      </c>
      <c r="M7" s="11">
        <f t="shared" si="1"/>
        <v>30.90128755364805</v>
      </c>
      <c r="O7" s="5">
        <f t="shared" si="0"/>
        <v>4.8</v>
      </c>
      <c r="P7" s="2">
        <f t="shared" si="6"/>
        <v>4.4676200602925377E-3</v>
      </c>
    </row>
    <row r="8" spans="1:16" x14ac:dyDescent="0.35">
      <c r="A8" s="5">
        <v>0.7</v>
      </c>
      <c r="B8" s="2">
        <v>7.291666666666667E-4</v>
      </c>
      <c r="C8" s="2">
        <f t="shared" si="7"/>
        <v>1.0416666666666669E-4</v>
      </c>
      <c r="D8" s="5">
        <f t="shared" si="2"/>
        <v>0.7</v>
      </c>
      <c r="E8" s="4">
        <f t="shared" si="3"/>
        <v>63.000000000000007</v>
      </c>
      <c r="F8" s="3">
        <f t="shared" si="8"/>
        <v>39.999999999999964</v>
      </c>
      <c r="G8" s="3">
        <f t="shared" si="10"/>
        <v>0.44943820224718678</v>
      </c>
      <c r="H8" s="3" t="b">
        <f t="shared" si="11"/>
        <v>0</v>
      </c>
      <c r="J8" s="9">
        <f t="shared" si="9"/>
        <v>4.8</v>
      </c>
      <c r="K8" s="9">
        <v>4.9000000000000004</v>
      </c>
      <c r="L8" s="10">
        <v>46.15</v>
      </c>
      <c r="M8" s="11">
        <f t="shared" si="1"/>
        <v>7.8006500541712223</v>
      </c>
      <c r="O8" s="5">
        <f t="shared" si="0"/>
        <v>4.9000000000000004</v>
      </c>
      <c r="P8" s="2">
        <f t="shared" si="6"/>
        <v>4.5579053618454452E-3</v>
      </c>
    </row>
    <row r="9" spans="1:16" x14ac:dyDescent="0.35">
      <c r="A9" s="5">
        <v>0.8</v>
      </c>
      <c r="B9" s="2">
        <v>8.3333333333333339E-4</v>
      </c>
      <c r="C9" s="2">
        <f t="shared" si="7"/>
        <v>1.0416666666666669E-4</v>
      </c>
      <c r="D9" s="5">
        <f t="shared" si="2"/>
        <v>0.8</v>
      </c>
      <c r="E9" s="4">
        <f t="shared" si="3"/>
        <v>72</v>
      </c>
      <c r="F9" s="3">
        <f t="shared" si="8"/>
        <v>40.000000000000071</v>
      </c>
      <c r="G9" s="3">
        <f t="shared" si="10"/>
        <v>0.44943820224718678</v>
      </c>
      <c r="H9" s="3" t="b">
        <f t="shared" si="11"/>
        <v>0</v>
      </c>
      <c r="J9" s="9">
        <f t="shared" si="9"/>
        <v>4.9000000000000004</v>
      </c>
      <c r="K9" s="9">
        <v>9.3000000000000007</v>
      </c>
      <c r="L9" s="10">
        <v>50</v>
      </c>
      <c r="M9" s="11">
        <f t="shared" si="1"/>
        <v>316.8</v>
      </c>
      <c r="O9" s="5">
        <f t="shared" si="0"/>
        <v>9.3000000000000007</v>
      </c>
      <c r="P9" s="2">
        <f t="shared" si="6"/>
        <v>8.2245720285121122E-3</v>
      </c>
    </row>
    <row r="10" spans="1:16" x14ac:dyDescent="0.35">
      <c r="A10" s="5">
        <v>0.9</v>
      </c>
      <c r="B10" s="2">
        <v>9.3749999999999997E-4</v>
      </c>
      <c r="C10" s="2">
        <f t="shared" si="7"/>
        <v>1.0416666666666658E-4</v>
      </c>
      <c r="D10" s="5">
        <f t="shared" si="2"/>
        <v>0.9</v>
      </c>
      <c r="E10" s="4">
        <f t="shared" si="3"/>
        <v>81</v>
      </c>
      <c r="F10" s="3">
        <f t="shared" si="8"/>
        <v>39.999999999999993</v>
      </c>
      <c r="G10" s="3">
        <f t="shared" si="10"/>
        <v>0.44943820224718678</v>
      </c>
      <c r="H10" s="3" t="b">
        <f t="shared" si="11"/>
        <v>0</v>
      </c>
      <c r="J10" s="9">
        <f t="shared" si="9"/>
        <v>9.3000000000000007</v>
      </c>
      <c r="K10" s="9">
        <v>9.4</v>
      </c>
      <c r="L10" s="10">
        <v>46.15</v>
      </c>
      <c r="M10" s="11">
        <f t="shared" si="1"/>
        <v>7.8006500541711539</v>
      </c>
      <c r="O10" s="5">
        <f t="shared" si="0"/>
        <v>9.4</v>
      </c>
      <c r="P10" s="2">
        <f t="shared" si="6"/>
        <v>8.3148573300650189E-3</v>
      </c>
    </row>
    <row r="11" spans="1:16" x14ac:dyDescent="0.35">
      <c r="A11" s="5">
        <v>1</v>
      </c>
      <c r="B11" s="2">
        <v>1.0416666666666667E-3</v>
      </c>
      <c r="C11" s="2">
        <f t="shared" si="7"/>
        <v>1.0416666666666669E-4</v>
      </c>
      <c r="D11" s="5">
        <f t="shared" si="2"/>
        <v>1</v>
      </c>
      <c r="E11" s="4">
        <f t="shared" si="3"/>
        <v>90</v>
      </c>
      <c r="F11" s="3">
        <f t="shared" si="8"/>
        <v>39.999999999999993</v>
      </c>
      <c r="G11" s="3">
        <f t="shared" si="10"/>
        <v>0.44943820224718678</v>
      </c>
      <c r="H11" s="3" t="b">
        <f t="shared" si="11"/>
        <v>0</v>
      </c>
      <c r="J11" s="9">
        <f t="shared" si="9"/>
        <v>9.4</v>
      </c>
      <c r="K11" s="9">
        <v>9.6</v>
      </c>
      <c r="L11" s="10">
        <v>34.950000000000003</v>
      </c>
      <c r="M11" s="11">
        <f t="shared" si="1"/>
        <v>20.600858369098638</v>
      </c>
      <c r="O11" s="5">
        <f t="shared" si="0"/>
        <v>9.6</v>
      </c>
      <c r="P11" s="2">
        <f t="shared" si="6"/>
        <v>8.5532931908184756E-3</v>
      </c>
    </row>
    <row r="12" spans="1:16" x14ac:dyDescent="0.35">
      <c r="A12" s="5">
        <v>1.1000000000000001</v>
      </c>
      <c r="B12" s="2">
        <v>1.1458333333333333E-3</v>
      </c>
      <c r="C12" s="2">
        <f t="shared" si="7"/>
        <v>1.0416666666666669E-4</v>
      </c>
      <c r="D12" s="5">
        <f t="shared" si="2"/>
        <v>1.1000000000000001</v>
      </c>
      <c r="E12" s="4">
        <f t="shared" si="3"/>
        <v>99</v>
      </c>
      <c r="F12" s="3">
        <f t="shared" si="8"/>
        <v>40.000000000000036</v>
      </c>
      <c r="G12" s="3">
        <f t="shared" si="10"/>
        <v>0.70422535211268666</v>
      </c>
      <c r="H12" s="3" t="b">
        <f t="shared" si="11"/>
        <v>1</v>
      </c>
      <c r="J12" s="9">
        <f t="shared" si="9"/>
        <v>9.6</v>
      </c>
      <c r="K12" s="9"/>
      <c r="L12" s="10"/>
      <c r="M12" s="11" t="e">
        <f>(K12-J12)/L12*3600</f>
        <v>#DIV/0!</v>
      </c>
      <c r="O12" s="5">
        <f t="shared" si="0"/>
        <v>0</v>
      </c>
      <c r="P12" s="2" t="e">
        <f t="shared" si="6"/>
        <v>#DIV/0!</v>
      </c>
    </row>
    <row r="13" spans="1:16" x14ac:dyDescent="0.35">
      <c r="A13" s="5">
        <v>1.2</v>
      </c>
      <c r="B13" s="2">
        <v>1.2291666666666666E-3</v>
      </c>
      <c r="C13" s="2">
        <f t="shared" si="7"/>
        <v>8.3333333333333263E-5</v>
      </c>
      <c r="D13" s="5">
        <f t="shared" si="2"/>
        <v>1.2</v>
      </c>
      <c r="E13" s="4">
        <f t="shared" si="3"/>
        <v>106.19999999999999</v>
      </c>
      <c r="F13" s="3">
        <f t="shared" si="8"/>
        <v>50.000000000000007</v>
      </c>
      <c r="G13" s="3">
        <f t="shared" si="10"/>
        <v>0.70422535211267245</v>
      </c>
      <c r="H13" s="3" t="b">
        <f t="shared" si="11"/>
        <v>0</v>
      </c>
      <c r="M13" s="2"/>
    </row>
    <row r="14" spans="1:16" x14ac:dyDescent="0.35">
      <c r="A14" s="5">
        <v>1.3</v>
      </c>
      <c r="B14" s="2">
        <v>1.3125000000000001E-3</v>
      </c>
      <c r="C14" s="2">
        <f t="shared" si="7"/>
        <v>8.333333333333348E-5</v>
      </c>
      <c r="D14" s="5">
        <f t="shared" si="2"/>
        <v>1.3</v>
      </c>
      <c r="E14" s="4">
        <f t="shared" si="3"/>
        <v>113.4</v>
      </c>
      <c r="F14" s="3">
        <f t="shared" si="8"/>
        <v>49.999999999999922</v>
      </c>
      <c r="G14" s="3">
        <f t="shared" si="10"/>
        <v>0.70422535211267245</v>
      </c>
      <c r="H14" s="3" t="b">
        <f t="shared" si="11"/>
        <v>0</v>
      </c>
    </row>
    <row r="15" spans="1:16" x14ac:dyDescent="0.35">
      <c r="A15" s="5">
        <v>1.4</v>
      </c>
      <c r="B15" s="2">
        <v>1.3958333333333333E-3</v>
      </c>
      <c r="C15" s="2">
        <f t="shared" si="7"/>
        <v>8.3333333333333263E-5</v>
      </c>
      <c r="D15" s="5">
        <f t="shared" si="2"/>
        <v>1.4</v>
      </c>
      <c r="E15" s="4">
        <f t="shared" si="3"/>
        <v>120.60000000000001</v>
      </c>
      <c r="F15" s="3">
        <f t="shared" si="8"/>
        <v>49.999999999999908</v>
      </c>
      <c r="G15" s="3">
        <f t="shared" si="10"/>
        <v>0.70422535211268666</v>
      </c>
      <c r="H15" s="3" t="b">
        <f t="shared" si="11"/>
        <v>0</v>
      </c>
    </row>
    <row r="16" spans="1:16" x14ac:dyDescent="0.35">
      <c r="A16" s="5">
        <v>1.5</v>
      </c>
      <c r="B16" s="2">
        <v>1.4791666666666666E-3</v>
      </c>
      <c r="C16" s="2">
        <f t="shared" si="7"/>
        <v>8.3333333333333263E-5</v>
      </c>
      <c r="D16" s="5">
        <f t="shared" si="2"/>
        <v>1.5</v>
      </c>
      <c r="E16" s="4">
        <f t="shared" si="3"/>
        <v>127.79999999999998</v>
      </c>
      <c r="F16" s="3">
        <f t="shared" si="8"/>
        <v>50.00000000000022</v>
      </c>
      <c r="G16" s="3">
        <f t="shared" si="10"/>
        <v>0.70422535211266535</v>
      </c>
      <c r="H16" s="3" t="b">
        <f t="shared" si="11"/>
        <v>0</v>
      </c>
    </row>
    <row r="17" spans="1:8" x14ac:dyDescent="0.35">
      <c r="A17" s="5">
        <v>1.6</v>
      </c>
      <c r="B17" s="2">
        <v>1.5625000000000001E-3</v>
      </c>
      <c r="C17" s="2">
        <f t="shared" si="7"/>
        <v>8.333333333333348E-5</v>
      </c>
      <c r="D17" s="5">
        <f t="shared" si="2"/>
        <v>1.6</v>
      </c>
      <c r="E17" s="4">
        <f t="shared" si="3"/>
        <v>135.00000000000003</v>
      </c>
      <c r="F17" s="3">
        <f t="shared" si="8"/>
        <v>49.99999999999973</v>
      </c>
      <c r="G17" s="3">
        <f t="shared" si="10"/>
        <v>0.70422535211267956</v>
      </c>
      <c r="H17" s="3" t="b">
        <f t="shared" si="11"/>
        <v>0</v>
      </c>
    </row>
    <row r="18" spans="1:8" x14ac:dyDescent="0.35">
      <c r="A18" s="5">
        <v>1.7</v>
      </c>
      <c r="B18" s="2">
        <v>1.6458333333333331E-3</v>
      </c>
      <c r="C18" s="2">
        <f t="shared" si="7"/>
        <v>8.3333333333333046E-5</v>
      </c>
      <c r="D18" s="5">
        <f t="shared" si="2"/>
        <v>1.7</v>
      </c>
      <c r="E18" s="4">
        <f t="shared" si="3"/>
        <v>142.19999999999999</v>
      </c>
      <c r="F18" s="3">
        <f t="shared" si="8"/>
        <v>50.000000000000213</v>
      </c>
      <c r="G18" s="3">
        <f t="shared" si="10"/>
        <v>0.70422535211267245</v>
      </c>
      <c r="H18" s="3" t="b">
        <f t="shared" si="11"/>
        <v>0</v>
      </c>
    </row>
    <row r="19" spans="1:8" x14ac:dyDescent="0.35">
      <c r="A19" s="5">
        <v>1.8</v>
      </c>
      <c r="B19" s="2">
        <v>1.7291666666666668E-3</v>
      </c>
      <c r="C19" s="2">
        <f t="shared" si="7"/>
        <v>8.3333333333333696E-5</v>
      </c>
      <c r="D19" s="5">
        <f t="shared" si="2"/>
        <v>1.8</v>
      </c>
      <c r="E19" s="4">
        <f t="shared" si="3"/>
        <v>149.4</v>
      </c>
      <c r="F19" s="3">
        <f t="shared" si="8"/>
        <v>49.999999999999922</v>
      </c>
      <c r="G19" s="3">
        <f t="shared" si="10"/>
        <v>0.70422535211268666</v>
      </c>
      <c r="H19" s="3" t="b">
        <f t="shared" si="11"/>
        <v>0</v>
      </c>
    </row>
    <row r="20" spans="1:8" x14ac:dyDescent="0.35">
      <c r="A20" s="5">
        <v>1.9</v>
      </c>
      <c r="B20" s="2">
        <v>1.8124999999999999E-3</v>
      </c>
      <c r="C20" s="2">
        <f t="shared" si="7"/>
        <v>8.3333333333333046E-5</v>
      </c>
      <c r="D20" s="5">
        <f t="shared" si="2"/>
        <v>1.9</v>
      </c>
      <c r="E20" s="4">
        <f t="shared" si="3"/>
        <v>156.6</v>
      </c>
      <c r="F20" s="3">
        <f t="shared" si="8"/>
        <v>50.000000000000007</v>
      </c>
      <c r="G20" s="3">
        <f t="shared" si="10"/>
        <v>0.70422535211267245</v>
      </c>
      <c r="H20" s="3" t="b">
        <f t="shared" si="11"/>
        <v>0</v>
      </c>
    </row>
    <row r="21" spans="1:8" x14ac:dyDescent="0.35">
      <c r="A21" s="5">
        <v>2</v>
      </c>
      <c r="B21" s="2">
        <v>1.8958333333333336E-3</v>
      </c>
      <c r="C21" s="2">
        <f t="shared" si="7"/>
        <v>8.3333333333333696E-5</v>
      </c>
      <c r="D21" s="5">
        <f t="shared" si="2"/>
        <v>2</v>
      </c>
      <c r="E21" s="4">
        <f t="shared" si="3"/>
        <v>163.80000000000001</v>
      </c>
      <c r="F21" s="3">
        <f t="shared" si="8"/>
        <v>49.999999999999922</v>
      </c>
      <c r="G21" s="3">
        <f t="shared" si="10"/>
        <v>0.70422535211268666</v>
      </c>
      <c r="H21" s="3" t="b">
        <f t="shared" si="11"/>
        <v>0</v>
      </c>
    </row>
    <row r="22" spans="1:8" x14ac:dyDescent="0.35">
      <c r="A22" s="5">
        <v>2.1</v>
      </c>
      <c r="B22" s="2">
        <v>1.9791666666666668E-3</v>
      </c>
      <c r="C22" s="2">
        <f t="shared" si="7"/>
        <v>8.3333333333333263E-5</v>
      </c>
      <c r="D22" s="5">
        <f t="shared" si="2"/>
        <v>2.1</v>
      </c>
      <c r="E22" s="4">
        <f t="shared" si="3"/>
        <v>171</v>
      </c>
      <c r="F22" s="3">
        <f t="shared" si="8"/>
        <v>50.000000000000121</v>
      </c>
      <c r="G22" s="3">
        <f t="shared" si="10"/>
        <v>0.70422535211267956</v>
      </c>
      <c r="H22" s="3" t="b">
        <f t="shared" si="11"/>
        <v>0</v>
      </c>
    </row>
    <row r="23" spans="1:8" x14ac:dyDescent="0.35">
      <c r="A23" s="5">
        <v>2.2000000000000002</v>
      </c>
      <c r="B23" s="2">
        <v>2.0624999999999997E-3</v>
      </c>
      <c r="C23" s="2">
        <f t="shared" si="7"/>
        <v>8.3333333333332829E-5</v>
      </c>
      <c r="D23" s="5">
        <f t="shared" si="2"/>
        <v>2.2000000000000002</v>
      </c>
      <c r="E23" s="4">
        <f t="shared" si="3"/>
        <v>178.19999999999996</v>
      </c>
      <c r="F23" s="3">
        <f t="shared" si="8"/>
        <v>50.000000000000327</v>
      </c>
      <c r="G23" s="3">
        <f t="shared" si="10"/>
        <v>0.70422535211265824</v>
      </c>
      <c r="H23" s="3" t="b">
        <f t="shared" si="11"/>
        <v>0</v>
      </c>
    </row>
    <row r="24" spans="1:8" x14ac:dyDescent="0.35">
      <c r="A24" s="5">
        <v>2.2999999999999998</v>
      </c>
      <c r="B24" s="2">
        <v>2.1458333333333334E-3</v>
      </c>
      <c r="C24" s="2">
        <f t="shared" si="7"/>
        <v>8.3333333333333696E-5</v>
      </c>
      <c r="D24" s="5">
        <f t="shared" si="2"/>
        <v>2.2999999999999998</v>
      </c>
      <c r="E24" s="4">
        <f t="shared" si="3"/>
        <v>185.4</v>
      </c>
      <c r="F24" s="3">
        <f t="shared" si="8"/>
        <v>49.99999999999951</v>
      </c>
      <c r="G24" s="3">
        <f t="shared" si="10"/>
        <v>0.70422535211268666</v>
      </c>
      <c r="H24" s="3" t="b">
        <f t="shared" si="11"/>
        <v>0</v>
      </c>
    </row>
    <row r="25" spans="1:8" x14ac:dyDescent="0.35">
      <c r="A25" s="5">
        <v>2.4</v>
      </c>
      <c r="B25" s="2">
        <v>2.2291666666666666E-3</v>
      </c>
      <c r="C25" s="2">
        <f t="shared" si="7"/>
        <v>8.3333333333333263E-5</v>
      </c>
      <c r="D25" s="5">
        <f t="shared" si="2"/>
        <v>2.4</v>
      </c>
      <c r="E25" s="4">
        <f t="shared" si="3"/>
        <v>192.6</v>
      </c>
      <c r="F25" s="3">
        <f t="shared" si="8"/>
        <v>50.000000000000121</v>
      </c>
      <c r="G25" s="3">
        <f t="shared" si="10"/>
        <v>0.70422535211266535</v>
      </c>
      <c r="H25" s="3" t="b">
        <f t="shared" si="11"/>
        <v>0</v>
      </c>
    </row>
    <row r="26" spans="1:8" x14ac:dyDescent="0.35">
      <c r="A26" s="5">
        <v>2.5</v>
      </c>
      <c r="B26" s="2">
        <v>2.3125000000000003E-3</v>
      </c>
      <c r="C26" s="2">
        <f t="shared" si="7"/>
        <v>8.3333333333333696E-5</v>
      </c>
      <c r="D26" s="5">
        <f t="shared" si="2"/>
        <v>2.5</v>
      </c>
      <c r="E26" s="4">
        <f t="shared" si="3"/>
        <v>199.80000000000004</v>
      </c>
      <c r="F26" s="3">
        <f t="shared" si="8"/>
        <v>49.99999999999973</v>
      </c>
      <c r="G26" s="3">
        <f t="shared" si="10"/>
        <v>0.70422535211268666</v>
      </c>
      <c r="H26" s="3" t="b">
        <f t="shared" si="11"/>
        <v>0</v>
      </c>
    </row>
    <row r="27" spans="1:8" x14ac:dyDescent="0.35">
      <c r="A27" s="5">
        <v>2.6</v>
      </c>
      <c r="B27" s="2">
        <v>2.3958333333333331E-3</v>
      </c>
      <c r="C27" s="2">
        <f t="shared" si="7"/>
        <v>8.3333333333332829E-5</v>
      </c>
      <c r="D27" s="5">
        <f t="shared" si="2"/>
        <v>2.6</v>
      </c>
      <c r="E27" s="4">
        <f t="shared" si="3"/>
        <v>206.99999999999997</v>
      </c>
      <c r="F27" s="3">
        <f t="shared" si="8"/>
        <v>50.000000000000519</v>
      </c>
      <c r="G27" s="3">
        <f t="shared" si="10"/>
        <v>0.70422535211267245</v>
      </c>
      <c r="H27" s="3" t="b">
        <f t="shared" si="11"/>
        <v>0</v>
      </c>
    </row>
    <row r="28" spans="1:8" x14ac:dyDescent="0.35">
      <c r="A28" s="5">
        <v>2.7</v>
      </c>
      <c r="B28" s="2">
        <v>2.4791666666666664E-3</v>
      </c>
      <c r="C28" s="2">
        <f t="shared" si="7"/>
        <v>8.3333333333333263E-5</v>
      </c>
      <c r="D28" s="5">
        <f t="shared" si="2"/>
        <v>2.7</v>
      </c>
      <c r="E28" s="4">
        <f t="shared" si="3"/>
        <v>214.2</v>
      </c>
      <c r="F28" s="3">
        <f t="shared" si="8"/>
        <v>49.999999999999922</v>
      </c>
      <c r="G28" s="3">
        <f t="shared" si="10"/>
        <v>0.70422535211266535</v>
      </c>
      <c r="H28" s="3" t="b">
        <f t="shared" si="11"/>
        <v>0</v>
      </c>
    </row>
    <row r="29" spans="1:8" x14ac:dyDescent="0.35">
      <c r="A29" s="5">
        <v>2.8</v>
      </c>
      <c r="B29" s="2">
        <v>2.5625000000000001E-3</v>
      </c>
      <c r="C29" s="2">
        <f t="shared" si="7"/>
        <v>8.3333333333333696E-5</v>
      </c>
      <c r="D29" s="5">
        <f t="shared" si="2"/>
        <v>2.8</v>
      </c>
      <c r="E29" s="4">
        <f t="shared" si="3"/>
        <v>221.4</v>
      </c>
      <c r="F29" s="3">
        <f t="shared" si="8"/>
        <v>49.999999999999702</v>
      </c>
      <c r="G29" s="3">
        <f t="shared" si="10"/>
        <v>0.70422535211268666</v>
      </c>
      <c r="H29" s="3" t="b">
        <f t="shared" si="11"/>
        <v>0</v>
      </c>
    </row>
    <row r="30" spans="1:8" x14ac:dyDescent="0.35">
      <c r="A30" s="5">
        <v>2.9</v>
      </c>
      <c r="B30" s="2">
        <v>2.6458333333333334E-3</v>
      </c>
      <c r="C30" s="2">
        <f t="shared" si="7"/>
        <v>8.3333333333333263E-5</v>
      </c>
      <c r="D30" s="5">
        <f t="shared" si="2"/>
        <v>2.9</v>
      </c>
      <c r="E30" s="4">
        <f t="shared" si="3"/>
        <v>228.6</v>
      </c>
      <c r="F30" s="3">
        <f t="shared" si="8"/>
        <v>50.000000000000121</v>
      </c>
      <c r="G30" s="3">
        <f t="shared" si="10"/>
        <v>0.70422535211267245</v>
      </c>
      <c r="H30" s="3" t="b">
        <f t="shared" si="11"/>
        <v>0</v>
      </c>
    </row>
    <row r="31" spans="1:8" x14ac:dyDescent="0.35">
      <c r="A31" s="5">
        <v>3</v>
      </c>
      <c r="B31" s="2">
        <v>2.7291666666666666E-3</v>
      </c>
      <c r="C31" s="2">
        <f t="shared" si="7"/>
        <v>8.3333333333333263E-5</v>
      </c>
      <c r="D31" s="5">
        <f t="shared" si="2"/>
        <v>3</v>
      </c>
      <c r="E31" s="4">
        <f t="shared" si="3"/>
        <v>235.8</v>
      </c>
      <c r="F31" s="3">
        <f t="shared" si="8"/>
        <v>49.999999999999922</v>
      </c>
      <c r="G31" s="3">
        <f t="shared" si="10"/>
        <v>0.70422535211267245</v>
      </c>
      <c r="H31" s="3" t="b">
        <f t="shared" si="11"/>
        <v>0</v>
      </c>
    </row>
    <row r="32" spans="1:8" x14ac:dyDescent="0.35">
      <c r="A32" s="5">
        <v>3.1</v>
      </c>
      <c r="B32" s="2">
        <v>2.8124999999999999E-3</v>
      </c>
      <c r="C32" s="2">
        <f t="shared" si="7"/>
        <v>8.3333333333333263E-5</v>
      </c>
      <c r="D32" s="5">
        <f t="shared" si="2"/>
        <v>3.1</v>
      </c>
      <c r="E32" s="4">
        <f t="shared" si="3"/>
        <v>243.00000000000003</v>
      </c>
      <c r="F32" s="3">
        <f t="shared" si="8"/>
        <v>49.999999999999922</v>
      </c>
      <c r="G32" s="3">
        <f t="shared" si="10"/>
        <v>0.70422535211268666</v>
      </c>
      <c r="H32" s="3" t="b">
        <f t="shared" si="11"/>
        <v>0</v>
      </c>
    </row>
    <row r="33" spans="1:8" x14ac:dyDescent="0.35">
      <c r="A33" s="5">
        <v>3.2</v>
      </c>
      <c r="B33" s="2">
        <v>2.8958333333333332E-3</v>
      </c>
      <c r="C33" s="2">
        <f t="shared" si="7"/>
        <v>8.3333333333333263E-5</v>
      </c>
      <c r="D33" s="5">
        <f t="shared" si="2"/>
        <v>3.2</v>
      </c>
      <c r="E33" s="4">
        <f t="shared" si="3"/>
        <v>250.19999999999996</v>
      </c>
      <c r="F33" s="3">
        <f t="shared" si="8"/>
        <v>50.000000000000519</v>
      </c>
      <c r="G33" s="3">
        <f t="shared" si="10"/>
        <v>0.34965034965034647</v>
      </c>
      <c r="H33" s="3" t="b">
        <f t="shared" si="11"/>
        <v>0</v>
      </c>
    </row>
    <row r="34" spans="1:8" x14ac:dyDescent="0.35">
      <c r="A34" s="5">
        <v>3.4</v>
      </c>
      <c r="B34" s="2">
        <v>3.0625000000000001E-3</v>
      </c>
      <c r="C34" s="2">
        <f t="shared" si="7"/>
        <v>1.6666666666666696E-4</v>
      </c>
      <c r="D34" s="5">
        <f t="shared" si="2"/>
        <v>3.4</v>
      </c>
      <c r="E34" s="4">
        <f t="shared" si="3"/>
        <v>264.60000000000002</v>
      </c>
      <c r="F34" s="3">
        <f t="shared" si="8"/>
        <v>49.999999999999716</v>
      </c>
      <c r="G34" s="3">
        <f t="shared" si="10"/>
        <v>0.70422535211268666</v>
      </c>
      <c r="H34" s="3" t="b">
        <f t="shared" si="11"/>
        <v>0</v>
      </c>
    </row>
    <row r="35" spans="1:8" x14ac:dyDescent="0.35">
      <c r="A35" s="5">
        <v>3.5</v>
      </c>
      <c r="B35" s="2">
        <v>3.1458333333333334E-3</v>
      </c>
      <c r="C35" s="2">
        <f t="shared" si="7"/>
        <v>8.3333333333333263E-5</v>
      </c>
      <c r="D35" s="5">
        <f t="shared" si="2"/>
        <v>3.5</v>
      </c>
      <c r="E35" s="4">
        <f t="shared" si="3"/>
        <v>271.8</v>
      </c>
      <c r="F35" s="3">
        <f t="shared" si="8"/>
        <v>50.000000000000121</v>
      </c>
      <c r="G35" s="3">
        <f t="shared" si="10"/>
        <v>0.70422535211268666</v>
      </c>
      <c r="H35" s="3" t="b">
        <f t="shared" si="11"/>
        <v>0</v>
      </c>
    </row>
    <row r="36" spans="1:8" x14ac:dyDescent="0.35">
      <c r="A36" s="5">
        <v>3.6</v>
      </c>
      <c r="B36" s="2">
        <v>3.2291666666666666E-3</v>
      </c>
      <c r="C36" s="2">
        <f t="shared" si="7"/>
        <v>8.3333333333333263E-5</v>
      </c>
      <c r="D36" s="5">
        <f t="shared" si="2"/>
        <v>3.6</v>
      </c>
      <c r="E36" s="4">
        <f t="shared" si="3"/>
        <v>279</v>
      </c>
      <c r="F36" s="3">
        <f t="shared" si="8"/>
        <v>50.000000000000121</v>
      </c>
      <c r="G36" s="3">
        <f t="shared" si="10"/>
        <v>0.70422535211268666</v>
      </c>
      <c r="H36" s="3" t="b">
        <f t="shared" si="11"/>
        <v>0</v>
      </c>
    </row>
    <row r="37" spans="1:8" x14ac:dyDescent="0.35">
      <c r="A37" s="5">
        <v>3.7</v>
      </c>
      <c r="B37" s="2">
        <v>3.3124999999999999E-3</v>
      </c>
      <c r="C37" s="2">
        <f t="shared" si="7"/>
        <v>8.3333333333333263E-5</v>
      </c>
      <c r="D37" s="5">
        <f t="shared" si="2"/>
        <v>3.7</v>
      </c>
      <c r="E37" s="4">
        <f t="shared" si="3"/>
        <v>286.2</v>
      </c>
      <c r="F37" s="3">
        <f t="shared" si="8"/>
        <v>50.000000000000121</v>
      </c>
      <c r="G37" s="3">
        <f t="shared" si="10"/>
        <v>0.70422535211267956</v>
      </c>
      <c r="H37" s="3" t="b">
        <f t="shared" si="11"/>
        <v>0</v>
      </c>
    </row>
    <row r="38" spans="1:8" x14ac:dyDescent="0.35">
      <c r="A38" s="5">
        <v>3.8</v>
      </c>
      <c r="B38" s="2">
        <v>3.3958333333333332E-3</v>
      </c>
      <c r="C38" s="2">
        <f t="shared" si="7"/>
        <v>8.3333333333333263E-5</v>
      </c>
      <c r="D38" s="5">
        <f t="shared" si="2"/>
        <v>3.8</v>
      </c>
      <c r="E38" s="4">
        <f t="shared" si="3"/>
        <v>293.39999999999998</v>
      </c>
      <c r="F38" s="3">
        <f t="shared" si="8"/>
        <v>49.999999999999901</v>
      </c>
      <c r="G38" s="3">
        <f t="shared" si="10"/>
        <v>0.70422535211266535</v>
      </c>
      <c r="H38" s="3" t="b">
        <f t="shared" si="11"/>
        <v>0</v>
      </c>
    </row>
    <row r="39" spans="1:8" x14ac:dyDescent="0.35">
      <c r="A39" s="5">
        <v>3.9</v>
      </c>
      <c r="B39" s="2">
        <v>3.4791666666666669E-3</v>
      </c>
      <c r="C39" s="2">
        <f t="shared" si="7"/>
        <v>8.3333333333333696E-5</v>
      </c>
      <c r="D39" s="5">
        <f t="shared" si="2"/>
        <v>3.9</v>
      </c>
      <c r="E39" s="4">
        <f t="shared" si="3"/>
        <v>300.60000000000002</v>
      </c>
      <c r="F39" s="3">
        <f t="shared" si="8"/>
        <v>49.99999999999973</v>
      </c>
      <c r="G39" s="3">
        <f t="shared" si="10"/>
        <v>0.49247606019151391</v>
      </c>
      <c r="H39" s="3" t="b">
        <f t="shared" si="11"/>
        <v>1</v>
      </c>
    </row>
    <row r="40" spans="1:8" x14ac:dyDescent="0.35">
      <c r="A40" s="5">
        <v>4</v>
      </c>
      <c r="B40" s="2">
        <v>3.5787037037037037E-3</v>
      </c>
      <c r="C40" s="2">
        <f t="shared" si="7"/>
        <v>9.9537037037036868E-5</v>
      </c>
      <c r="D40" s="5">
        <f t="shared" si="2"/>
        <v>4</v>
      </c>
      <c r="E40" s="4">
        <f t="shared" si="3"/>
        <v>309.2</v>
      </c>
      <c r="F40" s="3">
        <f t="shared" si="8"/>
        <v>41.860465116279279</v>
      </c>
      <c r="G40" s="3">
        <f t="shared" si="10"/>
        <v>0.44943820224718678</v>
      </c>
      <c r="H40" s="3" t="b">
        <f t="shared" si="11"/>
        <v>1</v>
      </c>
    </row>
    <row r="41" spans="1:8" x14ac:dyDescent="0.35">
      <c r="A41" s="5">
        <v>4.0999999999999996</v>
      </c>
      <c r="B41" s="2">
        <v>3.6828703703703702E-3</v>
      </c>
      <c r="C41" s="2">
        <f t="shared" si="7"/>
        <v>1.0416666666666647E-4</v>
      </c>
      <c r="D41" s="5">
        <f t="shared" si="2"/>
        <v>4.0999999999999996</v>
      </c>
      <c r="E41" s="4">
        <f t="shared" si="3"/>
        <v>318.2</v>
      </c>
      <c r="F41" s="3">
        <f t="shared" si="8"/>
        <v>39.999999999999858</v>
      </c>
      <c r="G41" s="3">
        <f t="shared" si="10"/>
        <v>0.37105751391465702</v>
      </c>
      <c r="H41" s="3" t="b">
        <f t="shared" si="11"/>
        <v>1</v>
      </c>
    </row>
    <row r="42" spans="1:8" x14ac:dyDescent="0.35">
      <c r="A42" s="5">
        <v>4.2</v>
      </c>
      <c r="B42" s="2">
        <v>3.7974537037037039E-3</v>
      </c>
      <c r="C42" s="2">
        <f t="shared" si="7"/>
        <v>1.1458333333333372E-4</v>
      </c>
      <c r="D42" s="5">
        <f t="shared" si="2"/>
        <v>4.2</v>
      </c>
      <c r="E42" s="4">
        <f t="shared" si="3"/>
        <v>328.1</v>
      </c>
      <c r="F42" s="3">
        <f t="shared" si="8"/>
        <v>36.363636363636431</v>
      </c>
      <c r="G42" s="3">
        <f t="shared" si="10"/>
        <v>0.44943820224718678</v>
      </c>
      <c r="H42" s="3" t="b">
        <f t="shared" si="11"/>
        <v>1</v>
      </c>
    </row>
    <row r="43" spans="1:8" x14ac:dyDescent="0.35">
      <c r="A43" s="5">
        <v>4.3</v>
      </c>
      <c r="B43" s="2">
        <v>3.9016203703703708E-3</v>
      </c>
      <c r="C43" s="2">
        <f t="shared" si="7"/>
        <v>1.041666666666669E-4</v>
      </c>
      <c r="D43" s="5">
        <f t="shared" si="2"/>
        <v>4.3</v>
      </c>
      <c r="E43" s="4">
        <f t="shared" si="3"/>
        <v>337.1</v>
      </c>
      <c r="F43" s="3">
        <f t="shared" si="8"/>
        <v>39.999999999999858</v>
      </c>
      <c r="G43" s="3">
        <f t="shared" si="10"/>
        <v>0.44943820224719389</v>
      </c>
      <c r="H43" s="3" t="b">
        <f t="shared" si="11"/>
        <v>0</v>
      </c>
    </row>
    <row r="44" spans="1:8" x14ac:dyDescent="0.35">
      <c r="A44" s="5">
        <v>4.4000000000000004</v>
      </c>
      <c r="B44" s="2">
        <v>4.0057870370370369E-3</v>
      </c>
      <c r="C44" s="2">
        <f t="shared" si="7"/>
        <v>1.0416666666666604E-4</v>
      </c>
      <c r="D44" s="5">
        <f t="shared" si="2"/>
        <v>4.4000000000000004</v>
      </c>
      <c r="E44" s="4">
        <f t="shared" si="3"/>
        <v>346.09999999999997</v>
      </c>
      <c r="F44" s="3">
        <f t="shared" si="8"/>
        <v>40.000000000000469</v>
      </c>
      <c r="G44" s="3">
        <f t="shared" si="10"/>
        <v>0.44943820224717967</v>
      </c>
      <c r="H44" s="3" t="b">
        <f t="shared" si="11"/>
        <v>0</v>
      </c>
    </row>
    <row r="45" spans="1:8" x14ac:dyDescent="0.35">
      <c r="A45" s="5">
        <v>4.5</v>
      </c>
      <c r="B45" s="2">
        <v>4.1099537037037042E-3</v>
      </c>
      <c r="C45" s="2">
        <f t="shared" si="7"/>
        <v>1.0416666666666734E-4</v>
      </c>
      <c r="D45" s="5">
        <f t="shared" si="2"/>
        <v>4.5</v>
      </c>
      <c r="E45" s="4">
        <f t="shared" si="3"/>
        <v>355.1</v>
      </c>
      <c r="F45" s="3">
        <f t="shared" si="8"/>
        <v>39.999999999999609</v>
      </c>
      <c r="G45" s="3">
        <f t="shared" si="10"/>
        <v>0.34266133637920859</v>
      </c>
      <c r="H45" s="3" t="b">
        <f t="shared" si="11"/>
        <v>1</v>
      </c>
    </row>
    <row r="46" spans="1:8" x14ac:dyDescent="0.35">
      <c r="A46" s="5">
        <v>4.5999999999999996</v>
      </c>
      <c r="B46" s="2">
        <v>4.2291666666666667E-3</v>
      </c>
      <c r="C46" s="2">
        <f t="shared" si="7"/>
        <v>1.1921296296296246E-4</v>
      </c>
      <c r="D46" s="5">
        <f t="shared" si="2"/>
        <v>4.5999999999999996</v>
      </c>
      <c r="E46" s="4">
        <f t="shared" si="3"/>
        <v>365.40000000000003</v>
      </c>
      <c r="F46" s="3">
        <f t="shared" si="8"/>
        <v>34.951456310679447</v>
      </c>
      <c r="G46" s="3">
        <f t="shared" si="10"/>
        <v>0.3426613363792157</v>
      </c>
      <c r="H46" s="3" t="b">
        <f t="shared" si="11"/>
        <v>0</v>
      </c>
    </row>
    <row r="47" spans="1:8" x14ac:dyDescent="0.35">
      <c r="A47" s="5">
        <v>4.7</v>
      </c>
      <c r="B47" s="2">
        <v>4.3483796296296291E-3</v>
      </c>
      <c r="C47" s="2">
        <f t="shared" si="7"/>
        <v>1.1921296296296246E-4</v>
      </c>
      <c r="D47" s="5">
        <f t="shared" si="2"/>
        <v>4.7</v>
      </c>
      <c r="E47" s="4">
        <f t="shared" si="3"/>
        <v>375.69999999999993</v>
      </c>
      <c r="F47" s="3">
        <f t="shared" si="8"/>
        <v>34.95145631068015</v>
      </c>
      <c r="G47" s="3">
        <f t="shared" si="10"/>
        <v>0.34266133637920859</v>
      </c>
      <c r="H47" s="3" t="b">
        <f t="shared" si="11"/>
        <v>0</v>
      </c>
    </row>
    <row r="48" spans="1:8" x14ac:dyDescent="0.35">
      <c r="A48" s="5">
        <v>4.8</v>
      </c>
      <c r="B48" s="2">
        <v>4.4675925925925924E-3</v>
      </c>
      <c r="C48" s="2">
        <f t="shared" si="7"/>
        <v>1.1921296296296333E-4</v>
      </c>
      <c r="D48" s="5">
        <f t="shared" si="2"/>
        <v>4.8</v>
      </c>
      <c r="E48" s="4">
        <f t="shared" si="3"/>
        <v>386</v>
      </c>
      <c r="F48" s="3">
        <f t="shared" si="8"/>
        <v>34.951456310679255</v>
      </c>
      <c r="G48" s="3">
        <f t="shared" si="10"/>
        <v>0.59940059940060308</v>
      </c>
      <c r="H48" s="3" t="b">
        <f t="shared" si="11"/>
        <v>1</v>
      </c>
    </row>
    <row r="49" spans="1:8" x14ac:dyDescent="0.35">
      <c r="A49" s="5">
        <v>4.9000000000000004</v>
      </c>
      <c r="B49" s="2">
        <v>4.5578703703703701E-3</v>
      </c>
      <c r="C49" s="2">
        <f t="shared" si="7"/>
        <v>9.0277777777777665E-5</v>
      </c>
      <c r="D49" s="5">
        <f t="shared" si="2"/>
        <v>4.9000000000000004</v>
      </c>
      <c r="E49" s="4">
        <f t="shared" si="3"/>
        <v>393.79999999999995</v>
      </c>
      <c r="F49" s="3">
        <f t="shared" si="8"/>
        <v>46.153846153846672</v>
      </c>
      <c r="G49" s="3">
        <f t="shared" si="10"/>
        <v>0.70422535211264403</v>
      </c>
      <c r="H49" s="3" t="b">
        <f t="shared" si="11"/>
        <v>1</v>
      </c>
    </row>
    <row r="50" spans="1:8" x14ac:dyDescent="0.35">
      <c r="A50" s="5">
        <v>5</v>
      </c>
      <c r="B50" s="2">
        <v>4.6412037037037038E-3</v>
      </c>
      <c r="C50" s="2">
        <f t="shared" si="7"/>
        <v>8.3333333333333696E-5</v>
      </c>
      <c r="D50" s="5">
        <f t="shared" si="2"/>
        <v>5</v>
      </c>
      <c r="E50" s="4">
        <f t="shared" si="3"/>
        <v>401.00000000000006</v>
      </c>
      <c r="F50" s="3">
        <f t="shared" si="8"/>
        <v>49.999999999999119</v>
      </c>
      <c r="G50" s="3">
        <f t="shared" si="10"/>
        <v>0.70422535211269377</v>
      </c>
      <c r="H50" s="3" t="b">
        <f t="shared" si="11"/>
        <v>0</v>
      </c>
    </row>
    <row r="51" spans="1:8" x14ac:dyDescent="0.35">
      <c r="A51" s="5">
        <v>5.0999999999999996</v>
      </c>
      <c r="B51" s="2">
        <v>4.7245370370370366E-3</v>
      </c>
      <c r="C51" s="2">
        <f t="shared" si="7"/>
        <v>8.3333333333332829E-5</v>
      </c>
      <c r="D51" s="5">
        <f t="shared" si="2"/>
        <v>5.0999999999999996</v>
      </c>
      <c r="E51" s="4">
        <f t="shared" si="3"/>
        <v>408.19999999999993</v>
      </c>
      <c r="F51" s="3">
        <f t="shared" si="8"/>
        <v>50.000000000000689</v>
      </c>
      <c r="G51" s="3">
        <f t="shared" si="10"/>
        <v>0.70422535211266535</v>
      </c>
      <c r="H51" s="3" t="b">
        <f t="shared" si="11"/>
        <v>0</v>
      </c>
    </row>
    <row r="52" spans="1:8" x14ac:dyDescent="0.35">
      <c r="A52" s="5">
        <v>5.2</v>
      </c>
      <c r="B52" s="2">
        <v>4.8078703703703703E-3</v>
      </c>
      <c r="C52" s="2">
        <f t="shared" si="7"/>
        <v>8.3333333333333696E-5</v>
      </c>
      <c r="D52" s="5">
        <f t="shared" si="2"/>
        <v>5.2</v>
      </c>
      <c r="E52" s="4">
        <f t="shared" si="3"/>
        <v>415.4</v>
      </c>
      <c r="F52" s="3">
        <f t="shared" si="8"/>
        <v>49.99999999999995</v>
      </c>
      <c r="G52" s="3">
        <f t="shared" si="10"/>
        <v>0.70422535211264403</v>
      </c>
      <c r="H52" s="3" t="b">
        <f t="shared" si="11"/>
        <v>0</v>
      </c>
    </row>
    <row r="53" spans="1:8" x14ac:dyDescent="0.35">
      <c r="A53" s="5">
        <v>5.3</v>
      </c>
      <c r="B53" s="2">
        <v>4.891203703703704E-3</v>
      </c>
      <c r="C53" s="2">
        <f t="shared" si="7"/>
        <v>8.3333333333333696E-5</v>
      </c>
      <c r="D53" s="5">
        <f t="shared" si="2"/>
        <v>5.3</v>
      </c>
      <c r="E53" s="4">
        <f t="shared" si="3"/>
        <v>422.60000000000008</v>
      </c>
      <c r="F53" s="3">
        <f t="shared" si="8"/>
        <v>49.999999999999119</v>
      </c>
      <c r="G53" s="3">
        <f t="shared" si="10"/>
        <v>0.70422535211270088</v>
      </c>
      <c r="H53" s="3" t="b">
        <f t="shared" si="11"/>
        <v>0</v>
      </c>
    </row>
    <row r="54" spans="1:8" x14ac:dyDescent="0.35">
      <c r="A54" s="5">
        <v>5.4</v>
      </c>
      <c r="B54" s="2">
        <v>4.9745370370370369E-3</v>
      </c>
      <c r="C54" s="2">
        <f t="shared" si="7"/>
        <v>8.3333333333332829E-5</v>
      </c>
      <c r="D54" s="5">
        <f t="shared" si="2"/>
        <v>5.4</v>
      </c>
      <c r="E54" s="4">
        <f t="shared" si="3"/>
        <v>429.79999999999995</v>
      </c>
      <c r="F54" s="3">
        <f t="shared" si="8"/>
        <v>50.00000000000113</v>
      </c>
      <c r="G54" s="3">
        <f t="shared" si="10"/>
        <v>0.70422535211265824</v>
      </c>
      <c r="H54" s="3" t="b">
        <f t="shared" si="11"/>
        <v>0</v>
      </c>
    </row>
    <row r="55" spans="1:8" x14ac:dyDescent="0.35">
      <c r="A55" s="5">
        <v>5.5</v>
      </c>
      <c r="B55" s="2">
        <v>5.0578703703703706E-3</v>
      </c>
      <c r="C55" s="2">
        <f t="shared" si="7"/>
        <v>8.3333333333333696E-5</v>
      </c>
      <c r="D55" s="5">
        <f t="shared" si="2"/>
        <v>5.5</v>
      </c>
      <c r="E55" s="4">
        <f t="shared" si="3"/>
        <v>437</v>
      </c>
      <c r="F55" s="3">
        <f t="shared" si="8"/>
        <v>49.99999999999951</v>
      </c>
      <c r="G55" s="3">
        <f t="shared" si="10"/>
        <v>0.70422535211267956</v>
      </c>
      <c r="H55" s="3" t="b">
        <f t="shared" si="11"/>
        <v>0</v>
      </c>
    </row>
    <row r="56" spans="1:8" x14ac:dyDescent="0.35">
      <c r="A56" s="5">
        <v>5.6</v>
      </c>
      <c r="B56" s="2">
        <v>5.1412037037037034E-3</v>
      </c>
      <c r="C56" s="2">
        <f t="shared" si="7"/>
        <v>8.3333333333332829E-5</v>
      </c>
      <c r="D56" s="5">
        <f t="shared" si="2"/>
        <v>5.6</v>
      </c>
      <c r="E56" s="4">
        <f t="shared" si="3"/>
        <v>444.2</v>
      </c>
      <c r="F56" s="3">
        <f t="shared" si="8"/>
        <v>49.999999999999901</v>
      </c>
      <c r="G56" s="3">
        <f t="shared" si="10"/>
        <v>0.70422535211268666</v>
      </c>
      <c r="H56" s="3" t="b">
        <f t="shared" si="11"/>
        <v>0</v>
      </c>
    </row>
    <row r="57" spans="1:8" x14ac:dyDescent="0.35">
      <c r="A57" s="5">
        <v>5.7</v>
      </c>
      <c r="B57" s="2">
        <v>5.2245370370370371E-3</v>
      </c>
      <c r="C57" s="2">
        <f t="shared" si="7"/>
        <v>8.3333333333333696E-5</v>
      </c>
      <c r="D57" s="5">
        <f t="shared" si="2"/>
        <v>5.7</v>
      </c>
      <c r="E57" s="4">
        <f t="shared" si="3"/>
        <v>451.4</v>
      </c>
      <c r="F57" s="3">
        <f t="shared" si="8"/>
        <v>50.000000000000341</v>
      </c>
      <c r="G57" s="3">
        <f t="shared" si="10"/>
        <v>0.70422535211267956</v>
      </c>
      <c r="H57" s="3" t="b">
        <f t="shared" si="11"/>
        <v>0</v>
      </c>
    </row>
    <row r="58" spans="1:8" x14ac:dyDescent="0.35">
      <c r="A58" s="5">
        <v>5.8</v>
      </c>
      <c r="B58" s="2">
        <v>5.3078703703703708E-3</v>
      </c>
      <c r="C58" s="2">
        <f t="shared" si="7"/>
        <v>8.3333333333333696E-5</v>
      </c>
      <c r="D58" s="5">
        <f t="shared" si="2"/>
        <v>5.8</v>
      </c>
      <c r="E58" s="4">
        <f t="shared" si="3"/>
        <v>458.59999999999997</v>
      </c>
      <c r="F58" s="3">
        <f t="shared" si="8"/>
        <v>49.999999999999901</v>
      </c>
      <c r="G58" s="3">
        <f t="shared" si="10"/>
        <v>0.70422535211266535</v>
      </c>
      <c r="H58" s="3" t="b">
        <f t="shared" si="11"/>
        <v>0</v>
      </c>
    </row>
    <row r="59" spans="1:8" x14ac:dyDescent="0.35">
      <c r="A59" s="5">
        <v>5.9</v>
      </c>
      <c r="B59" s="2">
        <v>5.3912037037037036E-3</v>
      </c>
      <c r="C59" s="2">
        <f t="shared" si="7"/>
        <v>8.3333333333332829E-5</v>
      </c>
      <c r="D59" s="5">
        <f t="shared" si="2"/>
        <v>5.9</v>
      </c>
      <c r="E59" s="4">
        <f t="shared" si="3"/>
        <v>465.8</v>
      </c>
      <c r="F59" s="3">
        <f t="shared" si="8"/>
        <v>49.99999999999995</v>
      </c>
      <c r="G59" s="3">
        <f t="shared" si="10"/>
        <v>0.70422535211267956</v>
      </c>
      <c r="H59" s="3" t="b">
        <f t="shared" si="11"/>
        <v>0</v>
      </c>
    </row>
    <row r="60" spans="1:8" x14ac:dyDescent="0.35">
      <c r="A60" s="5">
        <v>6</v>
      </c>
      <c r="B60" s="2">
        <v>5.4745370370370373E-3</v>
      </c>
      <c r="C60" s="2">
        <f t="shared" si="7"/>
        <v>8.3333333333333696E-5</v>
      </c>
      <c r="D60" s="5">
        <f t="shared" si="2"/>
        <v>6</v>
      </c>
      <c r="E60" s="4">
        <f t="shared" si="3"/>
        <v>473</v>
      </c>
      <c r="F60" s="3">
        <f t="shared" si="8"/>
        <v>49.999999999999901</v>
      </c>
      <c r="G60" s="3">
        <f t="shared" si="10"/>
        <v>0.70422535211267956</v>
      </c>
      <c r="H60" s="3" t="b">
        <f t="shared" si="11"/>
        <v>0</v>
      </c>
    </row>
    <row r="61" spans="1:8" x14ac:dyDescent="0.35">
      <c r="A61" s="5">
        <v>6.1</v>
      </c>
      <c r="B61" s="2">
        <v>5.5578703703703701E-3</v>
      </c>
      <c r="C61" s="2">
        <f t="shared" si="7"/>
        <v>8.3333333333332829E-5</v>
      </c>
      <c r="D61" s="5">
        <f t="shared" si="2"/>
        <v>6.1</v>
      </c>
      <c r="E61" s="4">
        <f t="shared" si="3"/>
        <v>480.2</v>
      </c>
      <c r="F61" s="3">
        <f t="shared" si="8"/>
        <v>49.999999999999901</v>
      </c>
      <c r="G61" s="3">
        <f t="shared" si="10"/>
        <v>0.70422535211266535</v>
      </c>
      <c r="H61" s="3" t="b">
        <f t="shared" si="11"/>
        <v>0</v>
      </c>
    </row>
    <row r="62" spans="1:8" x14ac:dyDescent="0.35">
      <c r="A62" s="5">
        <v>6.2</v>
      </c>
      <c r="B62" s="2">
        <v>5.6412037037037038E-3</v>
      </c>
      <c r="C62" s="2">
        <f t="shared" si="7"/>
        <v>8.3333333333333696E-5</v>
      </c>
      <c r="D62" s="5">
        <f t="shared" si="2"/>
        <v>6.2</v>
      </c>
      <c r="E62" s="4">
        <f t="shared" si="3"/>
        <v>487.40000000000003</v>
      </c>
      <c r="F62" s="3">
        <f t="shared" si="8"/>
        <v>49.99999999999995</v>
      </c>
      <c r="G62" s="3">
        <f t="shared" si="10"/>
        <v>0.70422535211267956</v>
      </c>
      <c r="H62" s="3" t="b">
        <f t="shared" si="11"/>
        <v>0</v>
      </c>
    </row>
    <row r="63" spans="1:8" x14ac:dyDescent="0.35">
      <c r="A63" s="5">
        <v>6.3</v>
      </c>
      <c r="B63" s="2">
        <v>5.7245370370370375E-3</v>
      </c>
      <c r="C63" s="2">
        <f t="shared" si="7"/>
        <v>8.3333333333333696E-5</v>
      </c>
      <c r="D63" s="5">
        <f t="shared" si="2"/>
        <v>6.3</v>
      </c>
      <c r="E63" s="4">
        <f t="shared" si="3"/>
        <v>494.6</v>
      </c>
      <c r="F63" s="3">
        <f t="shared" si="8"/>
        <v>49.999999999999901</v>
      </c>
      <c r="G63" s="3">
        <f t="shared" si="10"/>
        <v>0.70422535211268666</v>
      </c>
      <c r="H63" s="3" t="b">
        <f t="shared" si="11"/>
        <v>0</v>
      </c>
    </row>
    <row r="64" spans="1:8" x14ac:dyDescent="0.35">
      <c r="A64" s="5">
        <v>6.4</v>
      </c>
      <c r="B64" s="2">
        <v>5.8078703703703704E-3</v>
      </c>
      <c r="C64" s="2">
        <f t="shared" si="7"/>
        <v>8.3333333333332829E-5</v>
      </c>
      <c r="D64" s="5">
        <f t="shared" si="2"/>
        <v>6.4</v>
      </c>
      <c r="E64" s="4">
        <f t="shared" si="3"/>
        <v>501.8</v>
      </c>
      <c r="F64" s="3">
        <f t="shared" si="8"/>
        <v>50.000000000000341</v>
      </c>
      <c r="G64" s="3">
        <f t="shared" si="10"/>
        <v>0.70422535211265824</v>
      </c>
      <c r="H64" s="3" t="b">
        <f t="shared" si="11"/>
        <v>0</v>
      </c>
    </row>
    <row r="65" spans="1:8" x14ac:dyDescent="0.35">
      <c r="A65" s="5">
        <v>6.5</v>
      </c>
      <c r="B65" s="2">
        <v>5.8912037037037041E-3</v>
      </c>
      <c r="C65" s="2">
        <f t="shared" si="7"/>
        <v>8.3333333333333696E-5</v>
      </c>
      <c r="D65" s="5">
        <f t="shared" si="2"/>
        <v>6.5</v>
      </c>
      <c r="E65" s="4">
        <f t="shared" si="3"/>
        <v>509.00000000000006</v>
      </c>
      <c r="F65" s="3">
        <f t="shared" si="8"/>
        <v>49.99999999999951</v>
      </c>
      <c r="G65" s="3">
        <f t="shared" si="10"/>
        <v>0.70422535211267956</v>
      </c>
      <c r="H65" s="3" t="b">
        <f t="shared" si="11"/>
        <v>0</v>
      </c>
    </row>
    <row r="66" spans="1:8" x14ac:dyDescent="0.35">
      <c r="A66" s="5">
        <v>6.6</v>
      </c>
      <c r="B66" s="2">
        <v>5.9745370370370377E-3</v>
      </c>
      <c r="C66" s="2">
        <f t="shared" si="7"/>
        <v>8.3333333333333696E-5</v>
      </c>
      <c r="D66" s="5">
        <f t="shared" si="2"/>
        <v>6.6</v>
      </c>
      <c r="E66" s="4">
        <f t="shared" si="3"/>
        <v>516.20000000000005</v>
      </c>
      <c r="F66" s="3">
        <f t="shared" si="8"/>
        <v>49.999999999999901</v>
      </c>
      <c r="G66" s="3">
        <f t="shared" si="10"/>
        <v>0.34965034965034647</v>
      </c>
      <c r="H66" s="3" t="b">
        <f t="shared" si="11"/>
        <v>0</v>
      </c>
    </row>
    <row r="67" spans="1:8" x14ac:dyDescent="0.35">
      <c r="A67" s="5">
        <v>6.8</v>
      </c>
      <c r="B67" s="2">
        <v>6.1412037037037043E-3</v>
      </c>
      <c r="C67" s="2">
        <f t="shared" si="7"/>
        <v>1.6666666666666653E-4</v>
      </c>
      <c r="D67" s="5">
        <f t="shared" ref="D67:D80" si="12">A67/1</f>
        <v>6.8</v>
      </c>
      <c r="E67" s="4">
        <f t="shared" ref="E67:E80" si="13">B67*24*3600</f>
        <v>530.6</v>
      </c>
      <c r="F67" s="3">
        <f t="shared" si="8"/>
        <v>50.000000000000121</v>
      </c>
      <c r="G67" s="3">
        <f t="shared" si="10"/>
        <v>0.70422535211269377</v>
      </c>
      <c r="H67" s="3" t="b">
        <f t="shared" si="11"/>
        <v>0</v>
      </c>
    </row>
    <row r="68" spans="1:8" x14ac:dyDescent="0.35">
      <c r="A68" s="5">
        <v>6.9</v>
      </c>
      <c r="B68" s="2">
        <v>6.2245370370370362E-3</v>
      </c>
      <c r="C68" s="2">
        <f t="shared" ref="C68:C96" si="14">(B68-B67)</f>
        <v>8.3333333333331962E-5</v>
      </c>
      <c r="D68" s="5">
        <f t="shared" si="12"/>
        <v>6.9</v>
      </c>
      <c r="E68" s="4">
        <f t="shared" si="13"/>
        <v>537.79999999999995</v>
      </c>
      <c r="F68" s="3">
        <f t="shared" ref="F68:F81" si="15">(D68-D67)/((E68-E67)/3600)</f>
        <v>50.000000000000739</v>
      </c>
      <c r="G68" s="3">
        <f t="shared" si="10"/>
        <v>0.70422535211263693</v>
      </c>
      <c r="H68" s="3" t="b">
        <f t="shared" si="11"/>
        <v>0</v>
      </c>
    </row>
    <row r="69" spans="1:8" x14ac:dyDescent="0.35">
      <c r="A69" s="5">
        <v>7</v>
      </c>
      <c r="B69" s="2">
        <v>6.3078703703703708E-3</v>
      </c>
      <c r="C69" s="2">
        <f t="shared" si="14"/>
        <v>8.3333333333334564E-5</v>
      </c>
      <c r="D69" s="5">
        <f t="shared" si="12"/>
        <v>7</v>
      </c>
      <c r="E69" s="4">
        <f t="shared" si="13"/>
        <v>545.00000000000011</v>
      </c>
      <c r="F69" s="3">
        <f t="shared" si="15"/>
        <v>49.999999999998714</v>
      </c>
      <c r="G69" s="3">
        <f t="shared" ref="G69:G96" si="16">(D70-D69)/((E70-E69 -0.1)/3600) -F70</f>
        <v>0.70422535211267956</v>
      </c>
      <c r="H69" s="3" t="b">
        <f t="shared" ref="H69:H96" si="17">ABS(F70-F69) &gt;=G69</f>
        <v>0</v>
      </c>
    </row>
    <row r="70" spans="1:8" x14ac:dyDescent="0.35">
      <c r="A70" s="5">
        <v>7.1</v>
      </c>
      <c r="B70" s="2">
        <v>6.3912037037037045E-3</v>
      </c>
      <c r="C70" s="2">
        <f t="shared" si="14"/>
        <v>8.3333333333333696E-5</v>
      </c>
      <c r="D70" s="5">
        <f t="shared" si="12"/>
        <v>7.1</v>
      </c>
      <c r="E70" s="4">
        <f t="shared" si="13"/>
        <v>552.20000000000005</v>
      </c>
      <c r="F70" s="3">
        <f t="shared" si="15"/>
        <v>50.000000000000298</v>
      </c>
      <c r="G70" s="3">
        <f t="shared" si="16"/>
        <v>0.70422535211269377</v>
      </c>
      <c r="H70" s="3" t="b">
        <f t="shared" si="17"/>
        <v>0</v>
      </c>
    </row>
    <row r="71" spans="1:8" x14ac:dyDescent="0.35">
      <c r="A71" s="5">
        <v>7.2</v>
      </c>
      <c r="B71" s="2">
        <v>6.4745370370370365E-3</v>
      </c>
      <c r="C71" s="2">
        <f t="shared" si="14"/>
        <v>8.3333333333331962E-5</v>
      </c>
      <c r="D71" s="5">
        <f t="shared" si="12"/>
        <v>7.2</v>
      </c>
      <c r="E71" s="4">
        <f t="shared" si="13"/>
        <v>559.4</v>
      </c>
      <c r="F71" s="3">
        <f t="shared" si="15"/>
        <v>50.000000000000739</v>
      </c>
      <c r="G71" s="3">
        <f t="shared" si="16"/>
        <v>0.70422535211263693</v>
      </c>
      <c r="H71" s="3" t="b">
        <f t="shared" si="17"/>
        <v>0</v>
      </c>
    </row>
    <row r="72" spans="1:8" x14ac:dyDescent="0.35">
      <c r="A72" s="5">
        <v>7.3</v>
      </c>
      <c r="B72" s="2">
        <v>6.557870370370371E-3</v>
      </c>
      <c r="C72" s="2">
        <f t="shared" si="14"/>
        <v>8.3333333333334564E-5</v>
      </c>
      <c r="D72" s="5">
        <f t="shared" si="12"/>
        <v>7.3</v>
      </c>
      <c r="E72" s="4">
        <f t="shared" si="13"/>
        <v>566.60000000000014</v>
      </c>
      <c r="F72" s="3">
        <f t="shared" si="15"/>
        <v>49.999999999998714</v>
      </c>
      <c r="G72" s="3">
        <f t="shared" si="16"/>
        <v>0.70422535211274351</v>
      </c>
      <c r="H72" s="3" t="b">
        <f t="shared" si="17"/>
        <v>0</v>
      </c>
    </row>
    <row r="73" spans="1:8" x14ac:dyDescent="0.35">
      <c r="A73" s="5">
        <v>7.4</v>
      </c>
      <c r="B73" s="2">
        <v>6.641203703703703E-3</v>
      </c>
      <c r="C73" s="2">
        <f t="shared" si="14"/>
        <v>8.3333333333331962E-5</v>
      </c>
      <c r="D73" s="5">
        <f t="shared" si="12"/>
        <v>7.4</v>
      </c>
      <c r="E73" s="4">
        <f t="shared" si="13"/>
        <v>573.79999999999984</v>
      </c>
      <c r="F73" s="3">
        <f t="shared" si="15"/>
        <v>50.000000000002316</v>
      </c>
      <c r="G73" s="3">
        <f t="shared" si="16"/>
        <v>0.70422535211263693</v>
      </c>
      <c r="H73" s="3" t="b">
        <f t="shared" si="17"/>
        <v>0</v>
      </c>
    </row>
    <row r="74" spans="1:8" x14ac:dyDescent="0.35">
      <c r="A74" s="5">
        <v>7.5</v>
      </c>
      <c r="B74" s="2">
        <v>6.7245370370370367E-3</v>
      </c>
      <c r="C74" s="2">
        <f t="shared" si="14"/>
        <v>8.3333333333333696E-5</v>
      </c>
      <c r="D74" s="5">
        <f t="shared" si="12"/>
        <v>7.5</v>
      </c>
      <c r="E74" s="4">
        <f t="shared" si="13"/>
        <v>581</v>
      </c>
      <c r="F74" s="3">
        <f t="shared" si="15"/>
        <v>49.999999999998714</v>
      </c>
      <c r="G74" s="3">
        <f t="shared" si="16"/>
        <v>0.70422535211265824</v>
      </c>
      <c r="H74" s="3" t="b">
        <f t="shared" si="17"/>
        <v>0</v>
      </c>
    </row>
    <row r="75" spans="1:8" x14ac:dyDescent="0.35">
      <c r="A75" s="5">
        <v>7.6</v>
      </c>
      <c r="B75" s="2">
        <v>6.8078703703703712E-3</v>
      </c>
      <c r="C75" s="2">
        <f t="shared" si="14"/>
        <v>8.3333333333334564E-5</v>
      </c>
      <c r="D75" s="5">
        <f t="shared" ref="D75:D96" si="18">A75/1</f>
        <v>7.6</v>
      </c>
      <c r="E75" s="4">
        <f t="shared" ref="E75:E96" si="19">B75*24*3600</f>
        <v>588.20000000000005</v>
      </c>
      <c r="F75" s="3">
        <f t="shared" ref="F75:F96" si="20">(D75-D74)/((E75-E74)/3600)</f>
        <v>49.99999999999951</v>
      </c>
      <c r="G75" s="3">
        <f t="shared" si="16"/>
        <v>0.70422535211270798</v>
      </c>
      <c r="H75" s="3" t="b">
        <f t="shared" si="17"/>
        <v>0</v>
      </c>
    </row>
    <row r="76" spans="1:8" x14ac:dyDescent="0.35">
      <c r="A76" s="5">
        <v>7.7</v>
      </c>
      <c r="B76" s="2">
        <v>6.8912037037037032E-3</v>
      </c>
      <c r="C76" s="2">
        <f t="shared" si="14"/>
        <v>8.3333333333331962E-5</v>
      </c>
      <c r="D76" s="5">
        <f t="shared" si="18"/>
        <v>7.7</v>
      </c>
      <c r="E76" s="4">
        <f t="shared" si="19"/>
        <v>595.39999999999986</v>
      </c>
      <c r="F76" s="3">
        <f t="shared" si="20"/>
        <v>50.000000000001535</v>
      </c>
      <c r="G76" s="3">
        <f t="shared" si="16"/>
        <v>0.70422535211263693</v>
      </c>
      <c r="H76" s="3" t="b">
        <f t="shared" si="17"/>
        <v>0</v>
      </c>
    </row>
    <row r="77" spans="1:8" x14ac:dyDescent="0.35">
      <c r="A77" s="5">
        <v>7.8</v>
      </c>
      <c r="B77" s="2">
        <v>6.9745370370370369E-3</v>
      </c>
      <c r="C77" s="2">
        <f t="shared" si="14"/>
        <v>8.3333333333333696E-5</v>
      </c>
      <c r="D77" s="5">
        <f t="shared" si="18"/>
        <v>7.8</v>
      </c>
      <c r="E77" s="4">
        <f t="shared" si="19"/>
        <v>602.6</v>
      </c>
      <c r="F77" s="3">
        <f t="shared" si="20"/>
        <v>49.999999999998714</v>
      </c>
      <c r="G77" s="3">
        <f t="shared" si="16"/>
        <v>0.70422535211269377</v>
      </c>
      <c r="H77" s="3" t="b">
        <f t="shared" si="17"/>
        <v>0</v>
      </c>
    </row>
    <row r="78" spans="1:8" x14ac:dyDescent="0.35">
      <c r="A78" s="5">
        <v>7.9</v>
      </c>
      <c r="B78" s="2">
        <v>7.0578703703703697E-3</v>
      </c>
      <c r="C78" s="2">
        <f t="shared" si="14"/>
        <v>8.3333333333332829E-5</v>
      </c>
      <c r="D78" s="5">
        <f t="shared" si="18"/>
        <v>7.9</v>
      </c>
      <c r="E78" s="4">
        <f t="shared" si="19"/>
        <v>609.79999999999995</v>
      </c>
      <c r="F78" s="3">
        <f t="shared" si="20"/>
        <v>50.000000000000739</v>
      </c>
      <c r="G78" s="3">
        <f t="shared" si="16"/>
        <v>0.70422535211267956</v>
      </c>
      <c r="H78" s="3" t="b">
        <f t="shared" si="17"/>
        <v>0</v>
      </c>
    </row>
    <row r="79" spans="1:8" x14ac:dyDescent="0.35">
      <c r="A79" s="5">
        <v>8</v>
      </c>
      <c r="B79" s="2">
        <v>7.1412037037037034E-3</v>
      </c>
      <c r="C79" s="2">
        <f t="shared" si="14"/>
        <v>8.3333333333333696E-5</v>
      </c>
      <c r="D79" s="5">
        <f t="shared" si="18"/>
        <v>8</v>
      </c>
      <c r="E79" s="4">
        <f t="shared" si="19"/>
        <v>616.99999999999989</v>
      </c>
      <c r="F79" s="3">
        <f t="shared" si="20"/>
        <v>50.000000000000298</v>
      </c>
      <c r="G79" s="3">
        <f t="shared" si="16"/>
        <v>0.70422535211261561</v>
      </c>
      <c r="H79" s="3" t="b">
        <f t="shared" si="17"/>
        <v>0</v>
      </c>
    </row>
    <row r="80" spans="1:8" x14ac:dyDescent="0.35">
      <c r="A80" s="5">
        <v>8.1</v>
      </c>
      <c r="B80" s="2">
        <v>7.224537037037038E-3</v>
      </c>
      <c r="C80" s="2">
        <f t="shared" si="14"/>
        <v>8.3333333333334564E-5</v>
      </c>
      <c r="D80" s="5">
        <f t="shared" si="18"/>
        <v>8.1</v>
      </c>
      <c r="E80" s="4">
        <f t="shared" si="19"/>
        <v>624.20000000000016</v>
      </c>
      <c r="F80" s="3">
        <f t="shared" si="20"/>
        <v>49.999999999997925</v>
      </c>
      <c r="G80" s="3">
        <f t="shared" si="16"/>
        <v>0.70422535211270798</v>
      </c>
      <c r="H80" s="3" t="b">
        <f t="shared" si="17"/>
        <v>0</v>
      </c>
    </row>
    <row r="81" spans="1:8" x14ac:dyDescent="0.35">
      <c r="A81" s="5">
        <v>8.1999999999999993</v>
      </c>
      <c r="B81" s="2">
        <v>7.30787037037037E-3</v>
      </c>
      <c r="C81" s="2">
        <f t="shared" si="14"/>
        <v>8.3333333333331962E-5</v>
      </c>
      <c r="D81" s="5">
        <f t="shared" si="18"/>
        <v>8.1999999999999993</v>
      </c>
      <c r="E81" s="4">
        <f t="shared" si="19"/>
        <v>631.4</v>
      </c>
      <c r="F81" s="3">
        <f t="shared" si="20"/>
        <v>50.000000000001087</v>
      </c>
      <c r="G81" s="3">
        <f t="shared" si="16"/>
        <v>0.70422535211269377</v>
      </c>
      <c r="H81" s="3" t="b">
        <f t="shared" si="17"/>
        <v>0</v>
      </c>
    </row>
    <row r="82" spans="1:8" x14ac:dyDescent="0.35">
      <c r="A82" s="5">
        <v>8.3000000000000007</v>
      </c>
      <c r="B82" s="2">
        <v>7.3912037037037037E-3</v>
      </c>
      <c r="C82" s="2">
        <f t="shared" si="14"/>
        <v>8.3333333333333696E-5</v>
      </c>
      <c r="D82" s="5">
        <f t="shared" si="18"/>
        <v>8.3000000000000007</v>
      </c>
      <c r="E82" s="4">
        <f t="shared" si="19"/>
        <v>638.59999999999991</v>
      </c>
      <c r="F82" s="3">
        <f t="shared" si="20"/>
        <v>50.000000000001187</v>
      </c>
      <c r="G82" s="3">
        <f t="shared" si="16"/>
        <v>0.70422535211265824</v>
      </c>
      <c r="H82" s="3" t="b">
        <f t="shared" si="17"/>
        <v>0</v>
      </c>
    </row>
    <row r="83" spans="1:8" x14ac:dyDescent="0.35">
      <c r="A83" s="5">
        <v>8.4</v>
      </c>
      <c r="B83" s="2">
        <v>7.4745370370370365E-3</v>
      </c>
      <c r="C83" s="2">
        <f t="shared" si="14"/>
        <v>8.3333333333332829E-5</v>
      </c>
      <c r="D83" s="5">
        <f t="shared" si="18"/>
        <v>8.4</v>
      </c>
      <c r="E83" s="4">
        <f t="shared" si="19"/>
        <v>645.79999999999995</v>
      </c>
      <c r="F83" s="3">
        <f t="shared" si="20"/>
        <v>49.99999999999951</v>
      </c>
      <c r="G83" s="3">
        <f t="shared" si="16"/>
        <v>0.70422535211265824</v>
      </c>
      <c r="H83" s="3" t="b">
        <f t="shared" si="17"/>
        <v>0</v>
      </c>
    </row>
    <row r="84" spans="1:8" x14ac:dyDescent="0.35">
      <c r="A84" s="5">
        <v>8.5</v>
      </c>
      <c r="B84" s="2">
        <v>7.5578703703703702E-3</v>
      </c>
      <c r="C84" s="2">
        <f t="shared" si="14"/>
        <v>8.3333333333333696E-5</v>
      </c>
      <c r="D84" s="5">
        <f t="shared" si="18"/>
        <v>8.5</v>
      </c>
      <c r="E84" s="4">
        <f t="shared" si="19"/>
        <v>653</v>
      </c>
      <c r="F84" s="3">
        <f t="shared" si="20"/>
        <v>49.99999999999951</v>
      </c>
      <c r="G84" s="3">
        <f t="shared" si="16"/>
        <v>0.70422535211267956</v>
      </c>
      <c r="H84" s="3" t="b">
        <f t="shared" si="17"/>
        <v>0</v>
      </c>
    </row>
    <row r="85" spans="1:8" x14ac:dyDescent="0.35">
      <c r="A85" s="5">
        <v>8.6</v>
      </c>
      <c r="B85" s="2">
        <v>7.6412037037037039E-3</v>
      </c>
      <c r="C85" s="2">
        <f t="shared" si="14"/>
        <v>8.3333333333333696E-5</v>
      </c>
      <c r="D85" s="5">
        <f t="shared" si="18"/>
        <v>8.6</v>
      </c>
      <c r="E85" s="4">
        <f t="shared" si="19"/>
        <v>660.19999999999993</v>
      </c>
      <c r="F85" s="3">
        <f t="shared" si="20"/>
        <v>50.000000000000298</v>
      </c>
      <c r="G85" s="3">
        <f t="shared" si="16"/>
        <v>0.70422535211265824</v>
      </c>
      <c r="H85" s="3" t="b">
        <f t="shared" si="17"/>
        <v>0</v>
      </c>
    </row>
    <row r="86" spans="1:8" x14ac:dyDescent="0.35">
      <c r="A86" s="5">
        <v>8.6999999999999993</v>
      </c>
      <c r="B86" s="2">
        <v>7.7245370370370367E-3</v>
      </c>
      <c r="C86" s="2">
        <f t="shared" si="14"/>
        <v>8.3333333333332829E-5</v>
      </c>
      <c r="D86" s="5">
        <f t="shared" si="18"/>
        <v>8.6999999999999993</v>
      </c>
      <c r="E86" s="4">
        <f t="shared" si="19"/>
        <v>667.4</v>
      </c>
      <c r="F86" s="3">
        <f t="shared" si="20"/>
        <v>49.99999999999951</v>
      </c>
      <c r="G86" s="3">
        <f t="shared" si="16"/>
        <v>0.70422535211267245</v>
      </c>
      <c r="H86" s="3" t="b">
        <f t="shared" si="17"/>
        <v>0</v>
      </c>
    </row>
    <row r="87" spans="1:8" x14ac:dyDescent="0.35">
      <c r="A87" s="5">
        <v>8.8000000000000007</v>
      </c>
      <c r="B87" s="2">
        <v>7.8078703703703704E-3</v>
      </c>
      <c r="C87" s="2">
        <f t="shared" si="14"/>
        <v>8.3333333333333696E-5</v>
      </c>
      <c r="D87" s="5">
        <f t="shared" si="18"/>
        <v>8.8000000000000007</v>
      </c>
      <c r="E87" s="4">
        <f t="shared" si="19"/>
        <v>674.6</v>
      </c>
      <c r="F87" s="3">
        <f t="shared" si="20"/>
        <v>50.000000000000398</v>
      </c>
      <c r="G87" s="3">
        <f t="shared" si="16"/>
        <v>0.70422535211270798</v>
      </c>
      <c r="H87" s="3" t="b">
        <f t="shared" si="17"/>
        <v>0</v>
      </c>
    </row>
    <row r="88" spans="1:8" x14ac:dyDescent="0.35">
      <c r="A88" s="5">
        <v>8.9</v>
      </c>
      <c r="B88" s="2">
        <v>7.8912037037037024E-3</v>
      </c>
      <c r="C88" s="2">
        <f t="shared" si="14"/>
        <v>8.3333333333331962E-5</v>
      </c>
      <c r="D88" s="5">
        <f t="shared" si="18"/>
        <v>8.9</v>
      </c>
      <c r="E88" s="4">
        <f t="shared" si="19"/>
        <v>681.79999999999984</v>
      </c>
      <c r="F88" s="3">
        <f t="shared" si="20"/>
        <v>50.000000000001087</v>
      </c>
      <c r="G88" s="3">
        <f t="shared" si="16"/>
        <v>0.70422535211263693</v>
      </c>
      <c r="H88" s="3" t="b">
        <f t="shared" si="17"/>
        <v>0</v>
      </c>
    </row>
    <row r="89" spans="1:8" x14ac:dyDescent="0.35">
      <c r="A89" s="5">
        <v>9</v>
      </c>
      <c r="B89" s="2">
        <v>7.9745370370370369E-3</v>
      </c>
      <c r="C89" s="2">
        <f t="shared" si="14"/>
        <v>8.3333333333334564E-5</v>
      </c>
      <c r="D89" s="5">
        <f t="shared" si="18"/>
        <v>9</v>
      </c>
      <c r="E89" s="4">
        <f t="shared" si="19"/>
        <v>689</v>
      </c>
      <c r="F89" s="3">
        <f t="shared" si="20"/>
        <v>49.999999999998714</v>
      </c>
      <c r="G89" s="3">
        <f t="shared" si="16"/>
        <v>0.70422535211265824</v>
      </c>
      <c r="H89" s="3" t="b">
        <f t="shared" si="17"/>
        <v>0</v>
      </c>
    </row>
    <row r="90" spans="1:8" x14ac:dyDescent="0.35">
      <c r="A90" s="5">
        <v>9.1</v>
      </c>
      <c r="B90" s="2">
        <v>8.0578703703703715E-3</v>
      </c>
      <c r="C90" s="2">
        <f t="shared" si="14"/>
        <v>8.3333333333334564E-5</v>
      </c>
      <c r="D90" s="5">
        <f t="shared" si="18"/>
        <v>9.1</v>
      </c>
      <c r="E90" s="4">
        <f t="shared" si="19"/>
        <v>696.2</v>
      </c>
      <c r="F90" s="3">
        <f t="shared" si="20"/>
        <v>49.99999999999951</v>
      </c>
      <c r="G90" s="3">
        <f t="shared" si="16"/>
        <v>0.70422535211270798</v>
      </c>
      <c r="H90" s="3" t="b">
        <f t="shared" si="17"/>
        <v>0</v>
      </c>
    </row>
    <row r="91" spans="1:8" x14ac:dyDescent="0.35">
      <c r="A91" s="5">
        <v>9.1999999999999993</v>
      </c>
      <c r="B91" s="2">
        <v>8.1412037037037026E-3</v>
      </c>
      <c r="C91" s="2">
        <f t="shared" si="14"/>
        <v>8.3333333333331094E-5</v>
      </c>
      <c r="D91" s="5">
        <f t="shared" si="18"/>
        <v>9.1999999999999993</v>
      </c>
      <c r="E91" s="4">
        <f t="shared" si="19"/>
        <v>703.39999999999986</v>
      </c>
      <c r="F91" s="3">
        <f t="shared" si="20"/>
        <v>50.000000000001087</v>
      </c>
      <c r="G91" s="3">
        <f t="shared" si="16"/>
        <v>0.70422535211265114</v>
      </c>
      <c r="H91" s="3" t="b">
        <f t="shared" si="17"/>
        <v>0</v>
      </c>
    </row>
    <row r="92" spans="1:8" x14ac:dyDescent="0.35">
      <c r="A92" s="5">
        <v>9.3000000000000007</v>
      </c>
      <c r="B92" s="2">
        <v>8.2245370370370371E-3</v>
      </c>
      <c r="C92" s="2">
        <f t="shared" si="14"/>
        <v>8.3333333333334564E-5</v>
      </c>
      <c r="D92" s="5">
        <f t="shared" si="18"/>
        <v>9.3000000000000007</v>
      </c>
      <c r="E92" s="4">
        <f t="shared" si="19"/>
        <v>710.6</v>
      </c>
      <c r="F92" s="3">
        <f t="shared" si="20"/>
        <v>49.999999999999602</v>
      </c>
      <c r="G92" s="3">
        <f t="shared" si="16"/>
        <v>0.59940059940060308</v>
      </c>
      <c r="H92" s="3" t="b">
        <f t="shared" si="17"/>
        <v>1</v>
      </c>
    </row>
    <row r="93" spans="1:8" x14ac:dyDescent="0.35">
      <c r="A93" s="5">
        <v>9.4</v>
      </c>
      <c r="B93" s="2">
        <v>8.3148148148148148E-3</v>
      </c>
      <c r="C93" s="2">
        <f t="shared" si="14"/>
        <v>9.0277777777777665E-5</v>
      </c>
      <c r="D93" s="5">
        <f t="shared" si="18"/>
        <v>9.4</v>
      </c>
      <c r="E93" s="4">
        <f t="shared" si="19"/>
        <v>718.4</v>
      </c>
      <c r="F93" s="3">
        <f t="shared" si="20"/>
        <v>46.15384615384626</v>
      </c>
      <c r="G93" s="3">
        <f t="shared" si="16"/>
        <v>0.34266133637920859</v>
      </c>
      <c r="H93" s="3" t="b">
        <f t="shared" si="17"/>
        <v>1</v>
      </c>
    </row>
    <row r="94" spans="1:8" x14ac:dyDescent="0.35">
      <c r="A94" s="5">
        <v>9.5</v>
      </c>
      <c r="B94" s="2">
        <v>8.4340277777777781E-3</v>
      </c>
      <c r="C94" s="2">
        <f t="shared" si="14"/>
        <v>1.1921296296296333E-4</v>
      </c>
      <c r="D94" s="5">
        <f t="shared" si="18"/>
        <v>9.5</v>
      </c>
      <c r="E94" s="4">
        <f t="shared" si="19"/>
        <v>728.7</v>
      </c>
      <c r="F94" s="3">
        <f t="shared" si="20"/>
        <v>34.951456310679255</v>
      </c>
      <c r="G94" s="3">
        <f t="shared" si="16"/>
        <v>0.3426613363792157</v>
      </c>
      <c r="H94" s="3" t="b">
        <f t="shared" si="17"/>
        <v>0</v>
      </c>
    </row>
    <row r="95" spans="1:8" x14ac:dyDescent="0.35">
      <c r="A95" s="5">
        <v>9.6</v>
      </c>
      <c r="B95" s="2">
        <v>8.5532407407407415E-3</v>
      </c>
      <c r="C95" s="2">
        <f t="shared" si="14"/>
        <v>1.1921296296296333E-4</v>
      </c>
      <c r="D95" s="5">
        <f t="shared" si="18"/>
        <v>9.6</v>
      </c>
      <c r="E95" s="4">
        <f t="shared" si="19"/>
        <v>739</v>
      </c>
      <c r="F95" s="3">
        <f t="shared" si="20"/>
        <v>34.951456310679639</v>
      </c>
      <c r="G95" s="3">
        <f t="shared" si="16"/>
        <v>0.70588235294118107</v>
      </c>
      <c r="H95" s="3" t="b">
        <f t="shared" si="17"/>
        <v>0</v>
      </c>
    </row>
    <row r="96" spans="1:8" x14ac:dyDescent="0.35">
      <c r="A96" s="5">
        <v>9.65</v>
      </c>
      <c r="B96" s="2">
        <v>8.6122685185185191E-3</v>
      </c>
      <c r="C96" s="2">
        <f t="shared" si="14"/>
        <v>5.9027777777777637E-5</v>
      </c>
      <c r="D96" s="5">
        <f t="shared" si="18"/>
        <v>9.65</v>
      </c>
      <c r="E96" s="4">
        <f t="shared" si="19"/>
        <v>744.1</v>
      </c>
      <c r="F96" s="3">
        <f t="shared" si="20"/>
        <v>35.294117647059167</v>
      </c>
      <c r="G96" s="3">
        <f t="shared" si="16"/>
        <v>46.680999731255042</v>
      </c>
      <c r="H96" s="3" t="b">
        <f t="shared" si="17"/>
        <v>0</v>
      </c>
    </row>
  </sheetData>
  <conditionalFormatting sqref="F2:F96">
    <cfRule type="colorScale" priority="2">
      <colorScale>
        <cfvo type="num" val="20"/>
        <cfvo type="num" val="35"/>
        <cfvo type="num" val="50"/>
        <color rgb="FFF8696B"/>
        <color rgb="FFFCFCFF"/>
        <color rgb="FF63BE7B"/>
      </colorScale>
    </cfRule>
  </conditionalFormatting>
  <conditionalFormatting sqref="H1:H1048576">
    <cfRule type="cellIs" dxfId="1" priority="1" operator="equal">
      <formula>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2773A-0B65-4C3E-BC36-4A3AED2CFA24}">
  <dimension ref="A1:N7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8" sqref="I8"/>
    </sheetView>
  </sheetViews>
  <sheetFormatPr defaultRowHeight="14.5" x14ac:dyDescent="0.35"/>
  <cols>
    <col min="1" max="1" width="12.6328125" bestFit="1" customWidth="1"/>
    <col min="2" max="2" width="15.90625" bestFit="1" customWidth="1"/>
    <col min="3" max="3" width="15.90625" customWidth="1"/>
    <col min="6" max="6" width="9.36328125" bestFit="1" customWidth="1"/>
    <col min="10" max="10" width="8.90625" bestFit="1" customWidth="1"/>
  </cols>
  <sheetData>
    <row r="1" spans="1:14" s="6" customFormat="1" ht="31.5" customHeight="1" x14ac:dyDescent="0.35">
      <c r="A1" s="6" t="s">
        <v>0</v>
      </c>
      <c r="B1" s="6" t="s">
        <v>10</v>
      </c>
      <c r="C1" s="6" t="s">
        <v>5</v>
      </c>
      <c r="D1" s="6" t="s">
        <v>2</v>
      </c>
      <c r="E1" s="6" t="s">
        <v>3</v>
      </c>
      <c r="F1" s="6" t="s">
        <v>4</v>
      </c>
      <c r="H1" s="7" t="s">
        <v>8</v>
      </c>
      <c r="I1" s="7" t="s">
        <v>6</v>
      </c>
      <c r="J1" s="7" t="s">
        <v>4</v>
      </c>
      <c r="K1" s="7" t="s">
        <v>7</v>
      </c>
      <c r="M1" s="6" t="str">
        <f t="shared" ref="M1:M12" si="0">I1</f>
        <v>Distancia hasta</v>
      </c>
      <c r="N1" s="6" t="s">
        <v>9</v>
      </c>
    </row>
    <row r="2" spans="1:14" x14ac:dyDescent="0.35">
      <c r="A2" s="5">
        <v>0.1</v>
      </c>
      <c r="B2" s="2">
        <v>1.3888888888888889E-4</v>
      </c>
      <c r="C2" s="2">
        <v>0</v>
      </c>
      <c r="D2" s="5">
        <f>A2/1</f>
        <v>0.1</v>
      </c>
      <c r="E2" s="4">
        <f>B2*24*3600</f>
        <v>12</v>
      </c>
      <c r="F2" s="3">
        <f>F3</f>
        <v>30</v>
      </c>
      <c r="H2" s="8">
        <v>0</v>
      </c>
      <c r="I2" s="9">
        <v>0.5</v>
      </c>
      <c r="J2" s="10">
        <v>30</v>
      </c>
      <c r="K2" s="11">
        <f t="shared" ref="K2:K11" si="1">(I2-H2)/J2*3600</f>
        <v>60</v>
      </c>
      <c r="M2" s="5">
        <f t="shared" si="0"/>
        <v>0.5</v>
      </c>
      <c r="N2" s="2">
        <f>K2/24/3600</f>
        <v>6.9444444444444447E-4</v>
      </c>
    </row>
    <row r="3" spans="1:14" x14ac:dyDescent="0.35">
      <c r="A3" s="5">
        <v>0.2</v>
      </c>
      <c r="B3" s="2">
        <v>2.7777777777777778E-4</v>
      </c>
      <c r="C3" s="2">
        <f>(B3-B2)</f>
        <v>1.3888888888888889E-4</v>
      </c>
      <c r="D3" s="5">
        <f t="shared" ref="D3:D66" si="2">A3/1</f>
        <v>0.2</v>
      </c>
      <c r="E3" s="4">
        <f t="shared" ref="E3:E66" si="3">B3*24*3600</f>
        <v>24</v>
      </c>
      <c r="F3" s="3">
        <f>(D3-D2)/((E3-E2)/3600)</f>
        <v>30</v>
      </c>
      <c r="H3" s="9">
        <f>I2</f>
        <v>0.5</v>
      </c>
      <c r="I3" s="9">
        <v>1.6</v>
      </c>
      <c r="J3" s="10">
        <v>48</v>
      </c>
      <c r="K3" s="11">
        <f t="shared" si="1"/>
        <v>82.5</v>
      </c>
      <c r="M3" s="5">
        <f t="shared" si="0"/>
        <v>1.6</v>
      </c>
      <c r="N3" s="2">
        <f t="shared" ref="N3:N12" si="4">N2+K3/24/3600</f>
        <v>1.6493055555555556E-3</v>
      </c>
    </row>
    <row r="4" spans="1:14" x14ac:dyDescent="0.35">
      <c r="A4" s="5">
        <v>0.3</v>
      </c>
      <c r="B4" s="2">
        <v>4.1666666666666669E-4</v>
      </c>
      <c r="C4" s="2">
        <f t="shared" ref="C4:C67" si="5">(B4-B3)</f>
        <v>1.3888888888888892E-4</v>
      </c>
      <c r="D4" s="5">
        <f t="shared" si="2"/>
        <v>0.3</v>
      </c>
      <c r="E4" s="4">
        <f t="shared" si="3"/>
        <v>36</v>
      </c>
      <c r="F4" s="3">
        <f t="shared" ref="F4:F67" si="6">(D4-D3)/((E4-E3)/3600)</f>
        <v>29.999999999999993</v>
      </c>
      <c r="H4" s="9">
        <f t="shared" ref="H4:H12" si="7">I3</f>
        <v>1.6</v>
      </c>
      <c r="I4" s="9">
        <v>1.7</v>
      </c>
      <c r="J4" s="10">
        <v>41.38</v>
      </c>
      <c r="K4" s="11">
        <f t="shared" si="1"/>
        <v>8.6998550024166139</v>
      </c>
      <c r="M4" s="5">
        <f t="shared" si="0"/>
        <v>1.7</v>
      </c>
      <c r="N4" s="2">
        <f t="shared" si="4"/>
        <v>1.7499983217872292E-3</v>
      </c>
    </row>
    <row r="5" spans="1:14" x14ac:dyDescent="0.35">
      <c r="A5" s="5">
        <v>0.4</v>
      </c>
      <c r="B5" s="2">
        <v>5.5555555555555556E-4</v>
      </c>
      <c r="C5" s="2">
        <f t="shared" si="5"/>
        <v>1.3888888888888886E-4</v>
      </c>
      <c r="D5" s="5">
        <f t="shared" si="2"/>
        <v>0.4</v>
      </c>
      <c r="E5" s="4">
        <f t="shared" si="3"/>
        <v>48</v>
      </c>
      <c r="F5" s="3">
        <f t="shared" si="6"/>
        <v>30.000000000000007</v>
      </c>
      <c r="H5" s="9">
        <f t="shared" si="7"/>
        <v>1.7</v>
      </c>
      <c r="I5" s="9">
        <v>4.9000000000000004</v>
      </c>
      <c r="J5" s="10">
        <v>40</v>
      </c>
      <c r="K5" s="11">
        <f t="shared" si="1"/>
        <v>288</v>
      </c>
      <c r="M5" s="5">
        <f t="shared" si="0"/>
        <v>4.9000000000000004</v>
      </c>
      <c r="N5" s="2">
        <f t="shared" si="4"/>
        <v>5.0833316551205628E-3</v>
      </c>
    </row>
    <row r="6" spans="1:14" x14ac:dyDescent="0.35">
      <c r="A6" s="5">
        <v>0.5</v>
      </c>
      <c r="B6" s="2">
        <v>6.9444444444444447E-4</v>
      </c>
      <c r="C6" s="2">
        <f t="shared" si="5"/>
        <v>1.3888888888888892E-4</v>
      </c>
      <c r="D6" s="5">
        <f t="shared" si="2"/>
        <v>0.5</v>
      </c>
      <c r="E6" s="4">
        <f t="shared" si="3"/>
        <v>60</v>
      </c>
      <c r="F6" s="3">
        <f t="shared" si="6"/>
        <v>29.999999999999993</v>
      </c>
      <c r="H6" s="9">
        <f t="shared" si="7"/>
        <v>4.9000000000000004</v>
      </c>
      <c r="I6" s="9">
        <v>6.3</v>
      </c>
      <c r="J6" s="10">
        <v>49.01</v>
      </c>
      <c r="K6" s="11">
        <f t="shared" si="1"/>
        <v>102.83615588655373</v>
      </c>
      <c r="M6" s="5">
        <f t="shared" si="0"/>
        <v>6.3</v>
      </c>
      <c r="N6" s="2">
        <f t="shared" si="4"/>
        <v>6.2735649408445643E-3</v>
      </c>
    </row>
    <row r="7" spans="1:14" x14ac:dyDescent="0.35">
      <c r="A7" s="5">
        <v>0.6</v>
      </c>
      <c r="B7" s="2">
        <v>7.8125000000000004E-4</v>
      </c>
      <c r="C7" s="2">
        <f t="shared" si="5"/>
        <v>8.6805555555555572E-5</v>
      </c>
      <c r="D7" s="5">
        <f t="shared" si="2"/>
        <v>0.6</v>
      </c>
      <c r="E7" s="4">
        <f t="shared" si="3"/>
        <v>67.500000000000014</v>
      </c>
      <c r="F7" s="3">
        <f t="shared" si="6"/>
        <v>47.999999999999901</v>
      </c>
      <c r="H7" s="9">
        <f t="shared" si="7"/>
        <v>6.3</v>
      </c>
      <c r="I7" s="9">
        <v>7.2690000000000001</v>
      </c>
      <c r="J7" s="10">
        <v>50</v>
      </c>
      <c r="K7" s="11">
        <f t="shared" si="1"/>
        <v>69.768000000000015</v>
      </c>
      <c r="M7" s="5">
        <f t="shared" si="0"/>
        <v>7.2690000000000001</v>
      </c>
      <c r="N7" s="2">
        <f t="shared" si="4"/>
        <v>7.0810649408445643E-3</v>
      </c>
    </row>
    <row r="8" spans="1:14" x14ac:dyDescent="0.35">
      <c r="A8" s="5">
        <v>0.7</v>
      </c>
      <c r="B8" s="2">
        <v>8.6805555555555551E-4</v>
      </c>
      <c r="C8" s="2">
        <f t="shared" si="5"/>
        <v>8.6805555555555464E-5</v>
      </c>
      <c r="D8" s="5">
        <f t="shared" si="2"/>
        <v>0.7</v>
      </c>
      <c r="E8" s="4">
        <f t="shared" si="3"/>
        <v>75</v>
      </c>
      <c r="F8" s="3">
        <f t="shared" si="6"/>
        <v>48.000000000000078</v>
      </c>
      <c r="H8" s="9">
        <f t="shared" si="7"/>
        <v>7.2690000000000001</v>
      </c>
      <c r="I8" s="9"/>
      <c r="J8" s="10"/>
      <c r="K8" s="11" t="e">
        <f t="shared" si="1"/>
        <v>#DIV/0!</v>
      </c>
      <c r="M8" s="5">
        <f t="shared" si="0"/>
        <v>0</v>
      </c>
      <c r="N8" s="2" t="e">
        <f t="shared" si="4"/>
        <v>#DIV/0!</v>
      </c>
    </row>
    <row r="9" spans="1:14" x14ac:dyDescent="0.35">
      <c r="A9" s="5">
        <v>0.8</v>
      </c>
      <c r="B9" s="2">
        <v>9.5486111111111108E-4</v>
      </c>
      <c r="C9" s="2">
        <f t="shared" si="5"/>
        <v>8.6805555555555572E-5</v>
      </c>
      <c r="D9" s="5">
        <f t="shared" si="2"/>
        <v>0.8</v>
      </c>
      <c r="E9" s="4">
        <f t="shared" si="3"/>
        <v>82.5</v>
      </c>
      <c r="F9" s="3">
        <f t="shared" si="6"/>
        <v>48.000000000000043</v>
      </c>
      <c r="H9" s="9">
        <f t="shared" si="7"/>
        <v>0</v>
      </c>
      <c r="I9" s="9"/>
      <c r="J9" s="10"/>
      <c r="K9" s="11" t="e">
        <f t="shared" si="1"/>
        <v>#DIV/0!</v>
      </c>
      <c r="M9" s="5">
        <f t="shared" si="0"/>
        <v>0</v>
      </c>
      <c r="N9" s="2" t="e">
        <f t="shared" si="4"/>
        <v>#DIV/0!</v>
      </c>
    </row>
    <row r="10" spans="1:14" x14ac:dyDescent="0.35">
      <c r="A10" s="5">
        <v>0.9</v>
      </c>
      <c r="B10" s="2">
        <v>1.0416666666666667E-3</v>
      </c>
      <c r="C10" s="2">
        <f t="shared" si="5"/>
        <v>8.6805555555555572E-5</v>
      </c>
      <c r="D10" s="5">
        <f t="shared" si="2"/>
        <v>0.9</v>
      </c>
      <c r="E10" s="4">
        <f t="shared" si="3"/>
        <v>90</v>
      </c>
      <c r="F10" s="3">
        <f t="shared" si="6"/>
        <v>47.999999999999993</v>
      </c>
      <c r="H10" s="9">
        <f t="shared" si="7"/>
        <v>0</v>
      </c>
      <c r="I10" s="9"/>
      <c r="J10" s="10"/>
      <c r="K10" s="11" t="e">
        <f t="shared" si="1"/>
        <v>#DIV/0!</v>
      </c>
      <c r="M10" s="5">
        <f t="shared" si="0"/>
        <v>0</v>
      </c>
      <c r="N10" s="2" t="e">
        <f t="shared" si="4"/>
        <v>#DIV/0!</v>
      </c>
    </row>
    <row r="11" spans="1:14" x14ac:dyDescent="0.35">
      <c r="A11" s="5">
        <v>1</v>
      </c>
      <c r="B11" s="2">
        <v>1.1284722222222221E-3</v>
      </c>
      <c r="C11" s="2">
        <f t="shared" si="5"/>
        <v>8.6805555555555464E-5</v>
      </c>
      <c r="D11" s="5">
        <f t="shared" si="2"/>
        <v>1</v>
      </c>
      <c r="E11" s="4">
        <f t="shared" si="3"/>
        <v>97.499999999999986</v>
      </c>
      <c r="F11" s="3">
        <f t="shared" si="6"/>
        <v>48.000000000000078</v>
      </c>
      <c r="H11" s="9">
        <f t="shared" si="7"/>
        <v>0</v>
      </c>
      <c r="I11" s="9"/>
      <c r="J11" s="10"/>
      <c r="K11" s="11" t="e">
        <f t="shared" si="1"/>
        <v>#DIV/0!</v>
      </c>
      <c r="M11" s="5">
        <f t="shared" si="0"/>
        <v>0</v>
      </c>
      <c r="N11" s="2" t="e">
        <f t="shared" si="4"/>
        <v>#DIV/0!</v>
      </c>
    </row>
    <row r="12" spans="1:14" x14ac:dyDescent="0.35">
      <c r="A12" s="5">
        <v>1.1000000000000001</v>
      </c>
      <c r="B12" s="2">
        <v>1.2152777777777778E-3</v>
      </c>
      <c r="C12" s="2">
        <f t="shared" si="5"/>
        <v>8.6805555555555681E-5</v>
      </c>
      <c r="D12" s="5">
        <f t="shared" si="2"/>
        <v>1.1000000000000001</v>
      </c>
      <c r="E12" s="4">
        <f t="shared" si="3"/>
        <v>105</v>
      </c>
      <c r="F12" s="3">
        <f t="shared" si="6"/>
        <v>47.99999999999995</v>
      </c>
      <c r="H12" s="9">
        <f t="shared" si="7"/>
        <v>0</v>
      </c>
      <c r="I12" s="9"/>
      <c r="J12" s="10"/>
      <c r="K12" s="11" t="e">
        <f>(I12-H12)/J12*3600</f>
        <v>#DIV/0!</v>
      </c>
      <c r="M12" s="5">
        <f t="shared" si="0"/>
        <v>0</v>
      </c>
      <c r="N12" s="2" t="e">
        <f t="shared" si="4"/>
        <v>#DIV/0!</v>
      </c>
    </row>
    <row r="13" spans="1:14" x14ac:dyDescent="0.35">
      <c r="A13" s="5">
        <v>1.2</v>
      </c>
      <c r="B13" s="2">
        <v>1.3020833333333333E-3</v>
      </c>
      <c r="C13" s="2">
        <f t="shared" si="5"/>
        <v>8.6805555555555464E-5</v>
      </c>
      <c r="D13" s="5">
        <f t="shared" si="2"/>
        <v>1.2</v>
      </c>
      <c r="E13" s="4">
        <f t="shared" si="3"/>
        <v>112.5</v>
      </c>
      <c r="F13" s="3">
        <f t="shared" si="6"/>
        <v>47.999999999999936</v>
      </c>
      <c r="K13" s="2"/>
    </row>
    <row r="14" spans="1:14" x14ac:dyDescent="0.35">
      <c r="A14" s="5">
        <v>1.3</v>
      </c>
      <c r="B14" s="2">
        <v>1.3888888888888889E-3</v>
      </c>
      <c r="C14" s="2">
        <f t="shared" si="5"/>
        <v>8.6805555555555681E-5</v>
      </c>
      <c r="D14" s="5">
        <f t="shared" si="2"/>
        <v>1.3</v>
      </c>
      <c r="E14" s="4">
        <f t="shared" si="3"/>
        <v>120</v>
      </c>
      <c r="F14" s="3">
        <f t="shared" si="6"/>
        <v>48.000000000000043</v>
      </c>
    </row>
    <row r="15" spans="1:14" x14ac:dyDescent="0.35">
      <c r="A15" s="5">
        <v>1.4</v>
      </c>
      <c r="B15" s="2">
        <v>1.4756944444444444E-3</v>
      </c>
      <c r="C15" s="2">
        <f t="shared" si="5"/>
        <v>8.6805555555555464E-5</v>
      </c>
      <c r="D15" s="5">
        <f t="shared" ref="D15:D68" si="8">A15/1</f>
        <v>1.4</v>
      </c>
      <c r="E15" s="4">
        <f t="shared" ref="E15:E68" si="9">B15*24*3600</f>
        <v>127.5</v>
      </c>
      <c r="F15" s="3">
        <f t="shared" ref="F15:F68" si="10">(D15-D14)/((E15-E14)/3600)</f>
        <v>47.999999999999936</v>
      </c>
    </row>
    <row r="16" spans="1:14" x14ac:dyDescent="0.35">
      <c r="A16" s="5">
        <v>1.5</v>
      </c>
      <c r="B16" s="2">
        <v>1.5625000000000001E-3</v>
      </c>
      <c r="C16" s="2">
        <f t="shared" si="5"/>
        <v>8.6805555555555681E-5</v>
      </c>
      <c r="D16" s="5">
        <f t="shared" si="8"/>
        <v>1.5</v>
      </c>
      <c r="E16" s="4">
        <f t="shared" si="9"/>
        <v>135.00000000000003</v>
      </c>
      <c r="F16" s="3">
        <f t="shared" si="10"/>
        <v>47.999999999999865</v>
      </c>
    </row>
    <row r="17" spans="1:6" x14ac:dyDescent="0.35">
      <c r="A17" s="5">
        <v>1.6</v>
      </c>
      <c r="B17" s="2">
        <v>1.6493055555555556E-3</v>
      </c>
      <c r="C17" s="2">
        <f t="shared" si="5"/>
        <v>8.6805555555555464E-5</v>
      </c>
      <c r="D17" s="5">
        <f t="shared" si="8"/>
        <v>1.6</v>
      </c>
      <c r="E17" s="4">
        <f t="shared" si="9"/>
        <v>142.5</v>
      </c>
      <c r="F17" s="3">
        <f t="shared" si="10"/>
        <v>48.00000000000022</v>
      </c>
    </row>
    <row r="18" spans="1:6" x14ac:dyDescent="0.35">
      <c r="A18" s="5">
        <v>1.7</v>
      </c>
      <c r="B18" s="2">
        <v>1.7499999999999998E-3</v>
      </c>
      <c r="C18" s="2">
        <f t="shared" si="5"/>
        <v>1.0069444444444427E-4</v>
      </c>
      <c r="D18" s="5">
        <f t="shared" si="8"/>
        <v>1.7</v>
      </c>
      <c r="E18" s="4">
        <f t="shared" si="9"/>
        <v>151.19999999999999</v>
      </c>
      <c r="F18" s="3">
        <f t="shared" si="10"/>
        <v>41.379310344827587</v>
      </c>
    </row>
    <row r="19" spans="1:6" x14ac:dyDescent="0.35">
      <c r="A19" s="5">
        <v>1.8</v>
      </c>
      <c r="B19" s="2">
        <v>1.8541666666666665E-3</v>
      </c>
      <c r="C19" s="2">
        <f t="shared" si="5"/>
        <v>1.0416666666666669E-4</v>
      </c>
      <c r="D19" s="5">
        <f t="shared" si="8"/>
        <v>1.8</v>
      </c>
      <c r="E19" s="4">
        <f t="shared" si="9"/>
        <v>160.19999999999999</v>
      </c>
      <c r="F19" s="3">
        <f t="shared" si="10"/>
        <v>40.000000000000036</v>
      </c>
    </row>
    <row r="20" spans="1:6" x14ac:dyDescent="0.35">
      <c r="A20" s="5">
        <v>1.9</v>
      </c>
      <c r="B20" s="2">
        <v>1.9583333333333332E-3</v>
      </c>
      <c r="C20" s="2">
        <f t="shared" si="5"/>
        <v>1.0416666666666669E-4</v>
      </c>
      <c r="D20" s="5">
        <f t="shared" si="8"/>
        <v>1.9</v>
      </c>
      <c r="E20" s="4">
        <f t="shared" si="9"/>
        <v>169.2</v>
      </c>
      <c r="F20" s="3">
        <f t="shared" si="10"/>
        <v>39.999999999999943</v>
      </c>
    </row>
    <row r="21" spans="1:6" x14ac:dyDescent="0.35">
      <c r="A21" s="5">
        <v>2</v>
      </c>
      <c r="B21" s="2">
        <v>2.0624999999999997E-3</v>
      </c>
      <c r="C21" s="2">
        <f t="shared" si="5"/>
        <v>1.0416666666666647E-4</v>
      </c>
      <c r="D21" s="5">
        <f t="shared" si="8"/>
        <v>2</v>
      </c>
      <c r="E21" s="4">
        <f t="shared" si="9"/>
        <v>178.19999999999996</v>
      </c>
      <c r="F21" s="3">
        <f t="shared" si="10"/>
        <v>40.000000000000156</v>
      </c>
    </row>
    <row r="22" spans="1:6" x14ac:dyDescent="0.35">
      <c r="A22" s="5">
        <v>2.1</v>
      </c>
      <c r="B22" s="2">
        <v>2.1666666666666666E-3</v>
      </c>
      <c r="C22" s="2">
        <f t="shared" si="5"/>
        <v>1.041666666666669E-4</v>
      </c>
      <c r="D22" s="5">
        <f t="shared" si="8"/>
        <v>2.1</v>
      </c>
      <c r="E22" s="4">
        <f t="shared" si="9"/>
        <v>187.2</v>
      </c>
      <c r="F22" s="3">
        <f t="shared" si="10"/>
        <v>39.999999999999908</v>
      </c>
    </row>
    <row r="23" spans="1:6" x14ac:dyDescent="0.35">
      <c r="A23" s="5">
        <v>2.2000000000000002</v>
      </c>
      <c r="B23" s="2">
        <v>2.270833333333333E-3</v>
      </c>
      <c r="C23" s="2">
        <f t="shared" si="5"/>
        <v>1.0416666666666647E-4</v>
      </c>
      <c r="D23" s="5">
        <f t="shared" si="8"/>
        <v>2.2000000000000002</v>
      </c>
      <c r="E23" s="4">
        <f t="shared" si="9"/>
        <v>196.2</v>
      </c>
      <c r="F23" s="3">
        <f t="shared" si="10"/>
        <v>40.000000000000036</v>
      </c>
    </row>
    <row r="24" spans="1:6" x14ac:dyDescent="0.35">
      <c r="A24" s="5">
        <v>2.2999999999999998</v>
      </c>
      <c r="B24" s="2">
        <v>2.3749999999999999E-3</v>
      </c>
      <c r="C24" s="2">
        <f t="shared" si="5"/>
        <v>1.041666666666669E-4</v>
      </c>
      <c r="D24" s="5">
        <f t="shared" si="8"/>
        <v>2.2999999999999998</v>
      </c>
      <c r="E24" s="4">
        <f t="shared" si="9"/>
        <v>205.2</v>
      </c>
      <c r="F24" s="3">
        <f t="shared" si="10"/>
        <v>39.999999999999858</v>
      </c>
    </row>
    <row r="25" spans="1:6" x14ac:dyDescent="0.35">
      <c r="A25" s="5">
        <v>2.4</v>
      </c>
      <c r="B25" s="2">
        <v>2.4791666666666664E-3</v>
      </c>
      <c r="C25" s="2">
        <f t="shared" si="5"/>
        <v>1.0416666666666647E-4</v>
      </c>
      <c r="D25" s="5">
        <f t="shared" si="8"/>
        <v>2.4</v>
      </c>
      <c r="E25" s="4">
        <f t="shared" si="9"/>
        <v>214.2</v>
      </c>
      <c r="F25" s="3">
        <f t="shared" si="10"/>
        <v>40.000000000000036</v>
      </c>
    </row>
    <row r="26" spans="1:6" x14ac:dyDescent="0.35">
      <c r="A26" s="5">
        <v>2.5</v>
      </c>
      <c r="B26" s="2">
        <v>2.5833333333333333E-3</v>
      </c>
      <c r="C26" s="2">
        <f t="shared" si="5"/>
        <v>1.041666666666669E-4</v>
      </c>
      <c r="D26" s="5">
        <f t="shared" si="8"/>
        <v>2.5</v>
      </c>
      <c r="E26" s="4">
        <f t="shared" si="9"/>
        <v>223.2</v>
      </c>
      <c r="F26" s="3">
        <f t="shared" si="10"/>
        <v>40.000000000000036</v>
      </c>
    </row>
    <row r="27" spans="1:6" x14ac:dyDescent="0.35">
      <c r="A27" s="5">
        <v>2.6</v>
      </c>
      <c r="B27" s="2">
        <v>2.6874999999999998E-3</v>
      </c>
      <c r="C27" s="2">
        <f t="shared" si="5"/>
        <v>1.0416666666666647E-4</v>
      </c>
      <c r="D27" s="5">
        <f t="shared" si="8"/>
        <v>2.6</v>
      </c>
      <c r="E27" s="4">
        <f t="shared" si="9"/>
        <v>232.20000000000002</v>
      </c>
      <c r="F27" s="3">
        <f t="shared" si="10"/>
        <v>39.999999999999908</v>
      </c>
    </row>
    <row r="28" spans="1:6" x14ac:dyDescent="0.35">
      <c r="A28" s="5">
        <v>2.7</v>
      </c>
      <c r="B28" s="2">
        <v>2.7916666666666667E-3</v>
      </c>
      <c r="C28" s="2">
        <f t="shared" si="5"/>
        <v>1.041666666666669E-4</v>
      </c>
      <c r="D28" s="5">
        <f t="shared" si="8"/>
        <v>2.7</v>
      </c>
      <c r="E28" s="4">
        <f t="shared" si="9"/>
        <v>241.20000000000002</v>
      </c>
      <c r="F28" s="3">
        <f t="shared" si="10"/>
        <v>40.000000000000036</v>
      </c>
    </row>
    <row r="29" spans="1:6" x14ac:dyDescent="0.35">
      <c r="A29" s="5">
        <v>2.8</v>
      </c>
      <c r="B29" s="2">
        <v>2.8958333333333332E-3</v>
      </c>
      <c r="C29" s="2">
        <f t="shared" si="5"/>
        <v>1.0416666666666647E-4</v>
      </c>
      <c r="D29" s="5">
        <f t="shared" si="8"/>
        <v>2.8</v>
      </c>
      <c r="E29" s="4">
        <f t="shared" si="9"/>
        <v>250.19999999999996</v>
      </c>
      <c r="F29" s="3">
        <f t="shared" si="10"/>
        <v>40.000000000000114</v>
      </c>
    </row>
    <row r="30" spans="1:6" x14ac:dyDescent="0.35">
      <c r="A30" s="5">
        <v>2.9</v>
      </c>
      <c r="B30" s="2">
        <v>3.0000000000000001E-3</v>
      </c>
      <c r="C30" s="2">
        <f t="shared" si="5"/>
        <v>1.041666666666669E-4</v>
      </c>
      <c r="D30" s="5">
        <f t="shared" si="8"/>
        <v>2.9</v>
      </c>
      <c r="E30" s="4">
        <f t="shared" si="9"/>
        <v>259.20000000000005</v>
      </c>
      <c r="F30" s="3">
        <f t="shared" si="10"/>
        <v>39.999999999999659</v>
      </c>
    </row>
    <row r="31" spans="1:6" x14ac:dyDescent="0.35">
      <c r="A31" s="5">
        <v>3</v>
      </c>
      <c r="B31" s="2">
        <v>3.1041666666666665E-3</v>
      </c>
      <c r="C31" s="2">
        <f t="shared" si="5"/>
        <v>1.0416666666666647E-4</v>
      </c>
      <c r="D31" s="5">
        <f t="shared" si="8"/>
        <v>3</v>
      </c>
      <c r="E31" s="4">
        <f t="shared" si="9"/>
        <v>268.2</v>
      </c>
      <c r="F31" s="3">
        <f t="shared" si="10"/>
        <v>40.000000000000291</v>
      </c>
    </row>
    <row r="32" spans="1:6" x14ac:dyDescent="0.35">
      <c r="A32" s="5">
        <v>3.1</v>
      </c>
      <c r="B32" s="2">
        <v>3.208333333333333E-3</v>
      </c>
      <c r="C32" s="2">
        <f t="shared" si="5"/>
        <v>1.0416666666666647E-4</v>
      </c>
      <c r="D32" s="5">
        <f t="shared" si="8"/>
        <v>3.1</v>
      </c>
      <c r="E32" s="4">
        <f t="shared" si="9"/>
        <v>277.19999999999993</v>
      </c>
      <c r="F32" s="3">
        <f t="shared" si="10"/>
        <v>40.000000000000291</v>
      </c>
    </row>
    <row r="33" spans="1:6" x14ac:dyDescent="0.35">
      <c r="A33" s="5">
        <v>3.2</v>
      </c>
      <c r="B33" s="2">
        <v>3.3124999999999999E-3</v>
      </c>
      <c r="C33" s="2">
        <f t="shared" si="5"/>
        <v>1.041666666666669E-4</v>
      </c>
      <c r="D33" s="5">
        <f t="shared" si="8"/>
        <v>3.2</v>
      </c>
      <c r="E33" s="4">
        <f t="shared" si="9"/>
        <v>286.2</v>
      </c>
      <c r="F33" s="3">
        <f t="shared" si="10"/>
        <v>39.999999999999787</v>
      </c>
    </row>
    <row r="34" spans="1:6" x14ac:dyDescent="0.35">
      <c r="A34" s="5">
        <v>3.3</v>
      </c>
      <c r="B34" s="2">
        <v>3.4166666666666664E-3</v>
      </c>
      <c r="C34" s="2">
        <f t="shared" si="5"/>
        <v>1.0416666666666647E-4</v>
      </c>
      <c r="D34" s="5">
        <f t="shared" si="8"/>
        <v>3.3</v>
      </c>
      <c r="E34" s="4">
        <f t="shared" si="9"/>
        <v>295.2</v>
      </c>
      <c r="F34" s="3">
        <f t="shared" si="10"/>
        <v>39.999999999999858</v>
      </c>
    </row>
    <row r="35" spans="1:6" x14ac:dyDescent="0.35">
      <c r="A35" s="5">
        <v>3.4</v>
      </c>
      <c r="B35" s="2">
        <v>3.5208333333333333E-3</v>
      </c>
      <c r="C35" s="2">
        <f t="shared" si="5"/>
        <v>1.041666666666669E-4</v>
      </c>
      <c r="D35" s="5">
        <f t="shared" si="8"/>
        <v>3.4</v>
      </c>
      <c r="E35" s="4">
        <f t="shared" si="9"/>
        <v>304.2</v>
      </c>
      <c r="F35" s="3">
        <f t="shared" si="10"/>
        <v>40.000000000000036</v>
      </c>
    </row>
    <row r="36" spans="1:6" x14ac:dyDescent="0.35">
      <c r="A36" s="5">
        <v>3.5</v>
      </c>
      <c r="B36" s="2">
        <v>3.6249999999999998E-3</v>
      </c>
      <c r="C36" s="2">
        <f t="shared" si="5"/>
        <v>1.0416666666666647E-4</v>
      </c>
      <c r="D36" s="5">
        <f t="shared" si="8"/>
        <v>3.5</v>
      </c>
      <c r="E36" s="4">
        <f t="shared" si="9"/>
        <v>313.2</v>
      </c>
      <c r="F36" s="3">
        <f t="shared" si="10"/>
        <v>40.000000000000036</v>
      </c>
    </row>
    <row r="37" spans="1:6" x14ac:dyDescent="0.35">
      <c r="A37" s="5">
        <v>3.6</v>
      </c>
      <c r="B37" s="2">
        <v>3.7291666666666667E-3</v>
      </c>
      <c r="C37" s="2">
        <f t="shared" si="5"/>
        <v>1.041666666666669E-4</v>
      </c>
      <c r="D37" s="5">
        <f t="shared" si="8"/>
        <v>3.6</v>
      </c>
      <c r="E37" s="4">
        <f t="shared" si="9"/>
        <v>322.2</v>
      </c>
      <c r="F37" s="3">
        <f t="shared" si="10"/>
        <v>40.000000000000036</v>
      </c>
    </row>
    <row r="38" spans="1:6" x14ac:dyDescent="0.35">
      <c r="A38" s="5">
        <v>3.7</v>
      </c>
      <c r="B38" s="2">
        <v>3.8333333333333331E-3</v>
      </c>
      <c r="C38" s="2">
        <f t="shared" si="5"/>
        <v>1.0416666666666647E-4</v>
      </c>
      <c r="D38" s="5">
        <f t="shared" si="8"/>
        <v>3.7</v>
      </c>
      <c r="E38" s="4">
        <f t="shared" si="9"/>
        <v>331.2</v>
      </c>
      <c r="F38" s="3">
        <f t="shared" si="10"/>
        <v>40.000000000000036</v>
      </c>
    </row>
    <row r="39" spans="1:6" x14ac:dyDescent="0.35">
      <c r="A39" s="5">
        <v>3.8</v>
      </c>
      <c r="B39" s="2">
        <v>3.9375E-3</v>
      </c>
      <c r="C39" s="2">
        <f t="shared" si="5"/>
        <v>1.041666666666669E-4</v>
      </c>
      <c r="D39" s="5">
        <f t="shared" si="8"/>
        <v>3.8</v>
      </c>
      <c r="E39" s="4">
        <f t="shared" si="9"/>
        <v>340.2</v>
      </c>
      <c r="F39" s="3">
        <f t="shared" si="10"/>
        <v>39.999999999999858</v>
      </c>
    </row>
    <row r="40" spans="1:6" x14ac:dyDescent="0.35">
      <c r="A40" s="5">
        <v>3.9</v>
      </c>
      <c r="B40" s="2">
        <v>4.0416666666666665E-3</v>
      </c>
      <c r="C40" s="2">
        <f t="shared" si="5"/>
        <v>1.0416666666666647E-4</v>
      </c>
      <c r="D40" s="5">
        <f t="shared" si="8"/>
        <v>3.9</v>
      </c>
      <c r="E40" s="4">
        <f t="shared" si="9"/>
        <v>349.2</v>
      </c>
      <c r="F40" s="3">
        <f t="shared" si="10"/>
        <v>40.000000000000036</v>
      </c>
    </row>
    <row r="41" spans="1:6" x14ac:dyDescent="0.35">
      <c r="A41" s="5">
        <v>4</v>
      </c>
      <c r="B41" s="2">
        <v>4.145833333333333E-3</v>
      </c>
      <c r="C41" s="2">
        <f t="shared" si="5"/>
        <v>1.0416666666666647E-4</v>
      </c>
      <c r="D41" s="5">
        <f t="shared" si="8"/>
        <v>4</v>
      </c>
      <c r="E41" s="4">
        <f t="shared" si="9"/>
        <v>358.2</v>
      </c>
      <c r="F41" s="3">
        <f t="shared" si="10"/>
        <v>40.000000000000036</v>
      </c>
    </row>
    <row r="42" spans="1:6" x14ac:dyDescent="0.35">
      <c r="A42" s="5">
        <v>4.0999999999999996</v>
      </c>
      <c r="B42" s="2">
        <v>4.2499999999999994E-3</v>
      </c>
      <c r="C42" s="2">
        <f t="shared" si="5"/>
        <v>1.0416666666666647E-4</v>
      </c>
      <c r="D42" s="5">
        <f t="shared" si="8"/>
        <v>4.0999999999999996</v>
      </c>
      <c r="E42" s="4">
        <f t="shared" si="9"/>
        <v>367.19999999999993</v>
      </c>
      <c r="F42" s="3">
        <f t="shared" si="10"/>
        <v>40.000000000000114</v>
      </c>
    </row>
    <row r="43" spans="1:6" x14ac:dyDescent="0.35">
      <c r="A43" s="5">
        <v>4.2</v>
      </c>
      <c r="B43" s="2">
        <v>4.3541666666666668E-3</v>
      </c>
      <c r="C43" s="2">
        <f t="shared" si="5"/>
        <v>1.0416666666666734E-4</v>
      </c>
      <c r="D43" s="5">
        <f t="shared" si="8"/>
        <v>4.2</v>
      </c>
      <c r="E43" s="4">
        <f t="shared" si="9"/>
        <v>376.20000000000005</v>
      </c>
      <c r="F43" s="3">
        <f t="shared" si="10"/>
        <v>39.999999999999709</v>
      </c>
    </row>
    <row r="44" spans="1:6" x14ac:dyDescent="0.35">
      <c r="A44" s="5">
        <v>4.3</v>
      </c>
      <c r="B44" s="2">
        <v>4.4583333333333332E-3</v>
      </c>
      <c r="C44" s="2">
        <f t="shared" si="5"/>
        <v>1.0416666666666647E-4</v>
      </c>
      <c r="D44" s="5">
        <f t="shared" si="8"/>
        <v>4.3</v>
      </c>
      <c r="E44" s="4">
        <f t="shared" si="9"/>
        <v>385.2</v>
      </c>
      <c r="F44" s="3">
        <f t="shared" si="10"/>
        <v>40.000000000000114</v>
      </c>
    </row>
    <row r="45" spans="1:6" x14ac:dyDescent="0.35">
      <c r="A45" s="5">
        <v>4.4000000000000004</v>
      </c>
      <c r="B45" s="2">
        <v>4.5624999999999997E-3</v>
      </c>
      <c r="C45" s="2">
        <f t="shared" si="5"/>
        <v>1.0416666666666647E-4</v>
      </c>
      <c r="D45" s="5">
        <f t="shared" si="8"/>
        <v>4.4000000000000004</v>
      </c>
      <c r="E45" s="4">
        <f t="shared" si="9"/>
        <v>394.19999999999993</v>
      </c>
      <c r="F45" s="3">
        <f t="shared" si="10"/>
        <v>40.000000000000469</v>
      </c>
    </row>
    <row r="46" spans="1:6" x14ac:dyDescent="0.35">
      <c r="A46" s="5">
        <v>4.5</v>
      </c>
      <c r="B46" s="2">
        <v>4.6666666666666662E-3</v>
      </c>
      <c r="C46" s="2">
        <f t="shared" si="5"/>
        <v>1.0416666666666647E-4</v>
      </c>
      <c r="D46" s="5">
        <f t="shared" si="8"/>
        <v>4.5</v>
      </c>
      <c r="E46" s="4">
        <f t="shared" si="9"/>
        <v>403.19999999999993</v>
      </c>
      <c r="F46" s="3">
        <f t="shared" si="10"/>
        <v>39.999999999999858</v>
      </c>
    </row>
    <row r="47" spans="1:6" x14ac:dyDescent="0.35">
      <c r="A47" s="5">
        <v>4.5999999999999996</v>
      </c>
      <c r="B47" s="2">
        <v>4.7708333333333335E-3</v>
      </c>
      <c r="C47" s="2">
        <f t="shared" si="5"/>
        <v>1.0416666666666734E-4</v>
      </c>
      <c r="D47" s="5">
        <f t="shared" si="8"/>
        <v>4.5999999999999996</v>
      </c>
      <c r="E47" s="4">
        <f t="shared" si="9"/>
        <v>412.2</v>
      </c>
      <c r="F47" s="3">
        <f t="shared" si="10"/>
        <v>39.999999999999609</v>
      </c>
    </row>
    <row r="48" spans="1:6" x14ac:dyDescent="0.35">
      <c r="A48" s="5">
        <v>4.7</v>
      </c>
      <c r="B48" s="2">
        <v>4.875E-3</v>
      </c>
      <c r="C48" s="2">
        <f t="shared" si="5"/>
        <v>1.0416666666666647E-4</v>
      </c>
      <c r="D48" s="5">
        <f t="shared" si="8"/>
        <v>4.7</v>
      </c>
      <c r="E48" s="4">
        <f t="shared" si="9"/>
        <v>421.2</v>
      </c>
      <c r="F48" s="3">
        <f t="shared" si="10"/>
        <v>40.000000000000213</v>
      </c>
    </row>
    <row r="49" spans="1:6" x14ac:dyDescent="0.35">
      <c r="A49" s="5">
        <v>4.8</v>
      </c>
      <c r="B49" s="2">
        <v>4.9791666666666665E-3</v>
      </c>
      <c r="C49" s="2">
        <f t="shared" si="5"/>
        <v>1.0416666666666647E-4</v>
      </c>
      <c r="D49" s="5">
        <f t="shared" si="8"/>
        <v>4.8</v>
      </c>
      <c r="E49" s="4">
        <f t="shared" si="9"/>
        <v>430.2</v>
      </c>
      <c r="F49" s="3">
        <f t="shared" si="10"/>
        <v>39.999999999999858</v>
      </c>
    </row>
    <row r="50" spans="1:6" x14ac:dyDescent="0.35">
      <c r="A50" s="5">
        <v>4.9000000000000004</v>
      </c>
      <c r="B50" s="2">
        <v>5.0833333333333329E-3</v>
      </c>
      <c r="C50" s="2">
        <f t="shared" si="5"/>
        <v>1.0416666666666647E-4</v>
      </c>
      <c r="D50" s="5">
        <f t="shared" si="8"/>
        <v>4.9000000000000004</v>
      </c>
      <c r="E50" s="4">
        <f t="shared" si="9"/>
        <v>439.2</v>
      </c>
      <c r="F50" s="3">
        <f t="shared" si="10"/>
        <v>40.000000000000213</v>
      </c>
    </row>
    <row r="51" spans="1:6" x14ac:dyDescent="0.35">
      <c r="A51" s="5">
        <v>5</v>
      </c>
      <c r="B51" s="2">
        <v>5.1678240740740738E-3</v>
      </c>
      <c r="C51" s="2">
        <f t="shared" si="5"/>
        <v>8.449074074074088E-5</v>
      </c>
      <c r="D51" s="5">
        <f t="shared" si="8"/>
        <v>5</v>
      </c>
      <c r="E51" s="4">
        <f t="shared" si="9"/>
        <v>446.49999999999994</v>
      </c>
      <c r="F51" s="3">
        <f t="shared" si="10"/>
        <v>49.315068493150818</v>
      </c>
    </row>
    <row r="52" spans="1:6" x14ac:dyDescent="0.35">
      <c r="A52" s="5">
        <v>5.0999999999999996</v>
      </c>
      <c r="B52" s="2">
        <v>5.2534722222222219E-3</v>
      </c>
      <c r="C52" s="2">
        <f t="shared" si="5"/>
        <v>8.5648148148148064E-5</v>
      </c>
      <c r="D52" s="5">
        <f t="shared" si="8"/>
        <v>5.0999999999999996</v>
      </c>
      <c r="E52" s="4">
        <f t="shared" si="9"/>
        <v>453.9</v>
      </c>
      <c r="F52" s="3">
        <f t="shared" si="10"/>
        <v>48.648648648648248</v>
      </c>
    </row>
    <row r="53" spans="1:6" x14ac:dyDescent="0.35">
      <c r="A53" s="5">
        <v>5.2</v>
      </c>
      <c r="B53" s="2">
        <v>5.3379629629629628E-3</v>
      </c>
      <c r="C53" s="2">
        <f t="shared" si="5"/>
        <v>8.449074074074088E-5</v>
      </c>
      <c r="D53" s="5">
        <f t="shared" si="8"/>
        <v>5.2</v>
      </c>
      <c r="E53" s="4">
        <f t="shared" si="9"/>
        <v>461.20000000000005</v>
      </c>
      <c r="F53" s="3">
        <f t="shared" si="10"/>
        <v>49.315068493150484</v>
      </c>
    </row>
    <row r="54" spans="1:6" x14ac:dyDescent="0.35">
      <c r="A54" s="5">
        <v>5.3</v>
      </c>
      <c r="B54" s="2">
        <v>5.4236111111111117E-3</v>
      </c>
      <c r="C54" s="2">
        <f t="shared" si="5"/>
        <v>8.5648148148148931E-5</v>
      </c>
      <c r="D54" s="5">
        <f t="shared" si="8"/>
        <v>5.3</v>
      </c>
      <c r="E54" s="4">
        <f t="shared" si="9"/>
        <v>468.6</v>
      </c>
      <c r="F54" s="3">
        <f t="shared" si="10"/>
        <v>48.648648648648624</v>
      </c>
    </row>
    <row r="55" spans="1:6" x14ac:dyDescent="0.35">
      <c r="A55" s="5">
        <v>5.4</v>
      </c>
      <c r="B55" s="2">
        <v>5.5081018518518517E-3</v>
      </c>
      <c r="C55" s="2">
        <f t="shared" si="5"/>
        <v>8.4490740740740013E-5</v>
      </c>
      <c r="D55" s="5">
        <f t="shared" si="8"/>
        <v>5.4</v>
      </c>
      <c r="E55" s="4">
        <f t="shared" si="9"/>
        <v>475.90000000000003</v>
      </c>
      <c r="F55" s="3">
        <f t="shared" si="10"/>
        <v>49.315068493150868</v>
      </c>
    </row>
    <row r="56" spans="1:6" x14ac:dyDescent="0.35">
      <c r="A56" s="5">
        <v>5.5</v>
      </c>
      <c r="B56" s="2">
        <v>5.5937499999999998E-3</v>
      </c>
      <c r="C56" s="2">
        <f t="shared" si="5"/>
        <v>8.5648148148148064E-5</v>
      </c>
      <c r="D56" s="5">
        <f t="shared" si="8"/>
        <v>5.5</v>
      </c>
      <c r="E56" s="4">
        <f t="shared" si="9"/>
        <v>483.29999999999995</v>
      </c>
      <c r="F56" s="3">
        <f t="shared" si="10"/>
        <v>48.648648648648994</v>
      </c>
    </row>
    <row r="57" spans="1:6" x14ac:dyDescent="0.35">
      <c r="A57" s="5">
        <v>5.6</v>
      </c>
      <c r="B57" s="2">
        <v>5.6782407407407406E-3</v>
      </c>
      <c r="C57" s="2">
        <f t="shared" si="5"/>
        <v>8.449074074074088E-5</v>
      </c>
      <c r="D57" s="5">
        <f t="shared" si="8"/>
        <v>5.6</v>
      </c>
      <c r="E57" s="4">
        <f t="shared" si="9"/>
        <v>490.59999999999997</v>
      </c>
      <c r="F57" s="3">
        <f t="shared" si="10"/>
        <v>49.315068493150427</v>
      </c>
    </row>
    <row r="58" spans="1:6" x14ac:dyDescent="0.35">
      <c r="A58" s="5">
        <v>5.7</v>
      </c>
      <c r="B58" s="2">
        <v>5.7638888888888887E-3</v>
      </c>
      <c r="C58" s="2">
        <f t="shared" si="5"/>
        <v>8.5648148148148064E-5</v>
      </c>
      <c r="D58" s="5">
        <f t="shared" si="8"/>
        <v>5.7</v>
      </c>
      <c r="E58" s="4">
        <f t="shared" si="9"/>
        <v>498</v>
      </c>
      <c r="F58" s="3">
        <f t="shared" si="10"/>
        <v>48.648648648648681</v>
      </c>
    </row>
    <row r="59" spans="1:6" x14ac:dyDescent="0.35">
      <c r="A59" s="5">
        <v>5.8</v>
      </c>
      <c r="B59" s="2">
        <v>5.8483796296296296E-3</v>
      </c>
      <c r="C59" s="2">
        <f t="shared" si="5"/>
        <v>8.449074074074088E-5</v>
      </c>
      <c r="D59" s="5">
        <f t="shared" ref="D59:D74" si="11">A59/1</f>
        <v>5.8</v>
      </c>
      <c r="E59" s="4">
        <f t="shared" ref="E59:E74" si="12">B59*24*3600</f>
        <v>505.29999999999995</v>
      </c>
      <c r="F59" s="3">
        <f t="shared" ref="F59:F74" si="13">(D59-D58)/((E59-E58)/3600)</f>
        <v>49.315068493150818</v>
      </c>
    </row>
    <row r="60" spans="1:6" x14ac:dyDescent="0.35">
      <c r="A60" s="5">
        <v>5.9</v>
      </c>
      <c r="B60" s="2">
        <v>5.9340277777777785E-3</v>
      </c>
      <c r="C60" s="2">
        <f t="shared" si="5"/>
        <v>8.5648148148148931E-5</v>
      </c>
      <c r="D60" s="5">
        <f t="shared" si="11"/>
        <v>5.9</v>
      </c>
      <c r="E60" s="4">
        <f t="shared" si="12"/>
        <v>512.70000000000005</v>
      </c>
      <c r="F60" s="3">
        <f t="shared" si="13"/>
        <v>48.648648648648312</v>
      </c>
    </row>
    <row r="61" spans="1:6" x14ac:dyDescent="0.35">
      <c r="A61" s="5">
        <v>6</v>
      </c>
      <c r="B61" s="2">
        <v>6.0185185185185185E-3</v>
      </c>
      <c r="C61" s="2">
        <f t="shared" si="5"/>
        <v>8.4490740740740013E-5</v>
      </c>
      <c r="D61" s="5">
        <f t="shared" ref="D61:D74" si="14">A61/1</f>
        <v>6</v>
      </c>
      <c r="E61" s="4">
        <f t="shared" ref="E61:E74" si="15">B61*24*3600</f>
        <v>520</v>
      </c>
      <c r="F61" s="3">
        <f t="shared" ref="F61:F74" si="16">(D61-D60)/((E61-E60)/3600)</f>
        <v>49.315068493150818</v>
      </c>
    </row>
    <row r="62" spans="1:6" x14ac:dyDescent="0.35">
      <c r="A62" s="5">
        <v>6.1</v>
      </c>
      <c r="B62" s="2">
        <v>6.1041666666666666E-3</v>
      </c>
      <c r="C62" s="2">
        <f t="shared" si="5"/>
        <v>8.5648148148148064E-5</v>
      </c>
      <c r="D62" s="5">
        <f t="shared" si="14"/>
        <v>6.1</v>
      </c>
      <c r="E62" s="4">
        <f t="shared" si="15"/>
        <v>527.4</v>
      </c>
      <c r="F62" s="3">
        <f t="shared" si="16"/>
        <v>48.648648648648624</v>
      </c>
    </row>
    <row r="63" spans="1:6" x14ac:dyDescent="0.35">
      <c r="A63" s="5">
        <v>6.2</v>
      </c>
      <c r="B63" s="2">
        <v>6.1886574074074083E-3</v>
      </c>
      <c r="C63" s="2">
        <f t="shared" si="5"/>
        <v>8.4490740740741747E-5</v>
      </c>
      <c r="D63" s="5">
        <f t="shared" si="14"/>
        <v>6.2</v>
      </c>
      <c r="E63" s="4">
        <f t="shared" si="15"/>
        <v>534.70000000000016</v>
      </c>
      <c r="F63" s="3">
        <f t="shared" si="16"/>
        <v>49.315068493149717</v>
      </c>
    </row>
    <row r="64" spans="1:6" x14ac:dyDescent="0.35">
      <c r="A64" s="5">
        <v>6.3</v>
      </c>
      <c r="B64" s="2">
        <v>6.2731481481481484E-3</v>
      </c>
      <c r="C64" s="2">
        <f t="shared" si="5"/>
        <v>8.4490740740740013E-5</v>
      </c>
      <c r="D64" s="5">
        <f t="shared" si="14"/>
        <v>6.3</v>
      </c>
      <c r="E64" s="4">
        <f t="shared" si="15"/>
        <v>542</v>
      </c>
      <c r="F64" s="3">
        <f t="shared" si="16"/>
        <v>49.315068493151585</v>
      </c>
    </row>
    <row r="65" spans="1:6" x14ac:dyDescent="0.35">
      <c r="A65" s="5">
        <v>6.4</v>
      </c>
      <c r="B65" s="2">
        <v>6.3564814814814821E-3</v>
      </c>
      <c r="C65" s="2">
        <f t="shared" si="5"/>
        <v>8.3333333333333696E-5</v>
      </c>
      <c r="D65" s="5">
        <f t="shared" si="14"/>
        <v>6.4</v>
      </c>
      <c r="E65" s="4">
        <f t="shared" si="15"/>
        <v>549.20000000000005</v>
      </c>
      <c r="F65" s="3">
        <f t="shared" si="16"/>
        <v>49.99999999999995</v>
      </c>
    </row>
    <row r="66" spans="1:6" x14ac:dyDescent="0.35">
      <c r="A66" s="5">
        <v>6.5</v>
      </c>
      <c r="B66" s="2">
        <v>6.4398148148148149E-3</v>
      </c>
      <c r="C66" s="2">
        <f t="shared" si="5"/>
        <v>8.3333333333332829E-5</v>
      </c>
      <c r="D66" s="5">
        <f t="shared" si="14"/>
        <v>6.5</v>
      </c>
      <c r="E66" s="4">
        <f t="shared" si="15"/>
        <v>556.4</v>
      </c>
      <c r="F66" s="3">
        <f t="shared" si="16"/>
        <v>50.000000000000298</v>
      </c>
    </row>
    <row r="67" spans="1:6" x14ac:dyDescent="0.35">
      <c r="A67" s="5">
        <v>6.6</v>
      </c>
      <c r="B67" s="2">
        <v>6.5231481481481486E-3</v>
      </c>
      <c r="C67" s="2">
        <f t="shared" si="5"/>
        <v>8.3333333333333696E-5</v>
      </c>
      <c r="D67" s="5">
        <f t="shared" si="14"/>
        <v>6.6</v>
      </c>
      <c r="E67" s="4">
        <f t="shared" si="15"/>
        <v>563.6</v>
      </c>
      <c r="F67" s="3">
        <f t="shared" si="16"/>
        <v>49.99999999999951</v>
      </c>
    </row>
    <row r="68" spans="1:6" x14ac:dyDescent="0.35">
      <c r="A68" s="5">
        <v>6.7</v>
      </c>
      <c r="B68" s="2">
        <v>6.6064814814814805E-3</v>
      </c>
      <c r="C68" s="2">
        <f t="shared" ref="C68:C74" si="17">(B68-B67)</f>
        <v>8.3333333333331962E-5</v>
      </c>
      <c r="D68" s="5">
        <f t="shared" si="14"/>
        <v>6.7</v>
      </c>
      <c r="E68" s="4">
        <f t="shared" si="15"/>
        <v>570.79999999999995</v>
      </c>
      <c r="F68" s="3">
        <f t="shared" si="16"/>
        <v>50.000000000000739</v>
      </c>
    </row>
    <row r="69" spans="1:6" x14ac:dyDescent="0.35">
      <c r="A69" s="5">
        <v>6.8</v>
      </c>
      <c r="B69" s="2">
        <v>6.6898148148148151E-3</v>
      </c>
      <c r="C69" s="2">
        <f t="shared" si="17"/>
        <v>8.3333333333334564E-5</v>
      </c>
      <c r="D69" s="5">
        <f t="shared" si="14"/>
        <v>6.8</v>
      </c>
      <c r="E69" s="4">
        <f t="shared" si="15"/>
        <v>578</v>
      </c>
      <c r="F69" s="3">
        <f t="shared" si="16"/>
        <v>49.99999999999951</v>
      </c>
    </row>
    <row r="70" spans="1:6" x14ac:dyDescent="0.35">
      <c r="A70" s="5">
        <v>6.9</v>
      </c>
      <c r="B70" s="2">
        <v>6.7731481481481488E-3</v>
      </c>
      <c r="C70" s="2">
        <f t="shared" si="17"/>
        <v>8.3333333333333696E-5</v>
      </c>
      <c r="D70" s="5">
        <f t="shared" si="14"/>
        <v>6.9</v>
      </c>
      <c r="E70" s="4">
        <f t="shared" si="15"/>
        <v>585.20000000000005</v>
      </c>
      <c r="F70" s="3">
        <f t="shared" si="16"/>
        <v>49.99999999999995</v>
      </c>
    </row>
    <row r="71" spans="1:6" x14ac:dyDescent="0.35">
      <c r="A71" s="5">
        <v>7</v>
      </c>
      <c r="B71" s="2">
        <v>6.8564814814814816E-3</v>
      </c>
      <c r="C71" s="2">
        <f t="shared" si="17"/>
        <v>8.3333333333332829E-5</v>
      </c>
      <c r="D71" s="5">
        <f t="shared" si="14"/>
        <v>7</v>
      </c>
      <c r="E71" s="4">
        <f t="shared" si="15"/>
        <v>592.40000000000009</v>
      </c>
      <c r="F71" s="3">
        <f t="shared" si="16"/>
        <v>49.99999999999951</v>
      </c>
    </row>
    <row r="72" spans="1:6" x14ac:dyDescent="0.35">
      <c r="A72" s="5">
        <v>7.1</v>
      </c>
      <c r="B72" s="2">
        <v>6.9398148148148153E-3</v>
      </c>
      <c r="C72" s="2">
        <f t="shared" si="17"/>
        <v>8.3333333333333696E-5</v>
      </c>
      <c r="D72" s="5">
        <f t="shared" si="14"/>
        <v>7.1</v>
      </c>
      <c r="E72" s="4">
        <f t="shared" si="15"/>
        <v>599.6</v>
      </c>
      <c r="F72" s="3">
        <f t="shared" si="16"/>
        <v>50.000000000000298</v>
      </c>
    </row>
    <row r="73" spans="1:6" x14ac:dyDescent="0.35">
      <c r="A73" s="5">
        <v>7.2</v>
      </c>
      <c r="B73" s="2">
        <v>7.0231481481481473E-3</v>
      </c>
      <c r="C73" s="2">
        <f t="shared" si="17"/>
        <v>8.3333333333331962E-5</v>
      </c>
      <c r="D73" s="5">
        <f t="shared" si="14"/>
        <v>7.2</v>
      </c>
      <c r="E73" s="4">
        <f t="shared" si="15"/>
        <v>606.79999999999995</v>
      </c>
      <c r="F73" s="3">
        <f t="shared" si="16"/>
        <v>50.000000000000739</v>
      </c>
    </row>
    <row r="74" spans="1:6" x14ac:dyDescent="0.35">
      <c r="A74" s="5">
        <v>7.27</v>
      </c>
      <c r="B74" s="2">
        <v>7.0810185185185177E-3</v>
      </c>
      <c r="C74" s="2">
        <f t="shared" si="17"/>
        <v>5.7870370370370454E-5</v>
      </c>
      <c r="D74" s="5">
        <f t="shared" si="14"/>
        <v>7.27</v>
      </c>
      <c r="E74" s="4">
        <f t="shared" si="15"/>
        <v>611.79999999999995</v>
      </c>
      <c r="F74" s="3">
        <f t="shared" si="16"/>
        <v>50.399999999999565</v>
      </c>
    </row>
    <row r="75" spans="1:6" x14ac:dyDescent="0.35">
      <c r="A75" s="1"/>
      <c r="B75" s="2"/>
      <c r="C75" s="2"/>
      <c r="D75" s="5"/>
      <c r="E75" s="4"/>
      <c r="F75" s="3"/>
    </row>
    <row r="76" spans="1:6" x14ac:dyDescent="0.35">
      <c r="A76" s="1"/>
      <c r="B76" s="2"/>
      <c r="C76" s="2"/>
      <c r="D76" s="5"/>
      <c r="E76" s="4"/>
      <c r="F76" s="3"/>
    </row>
    <row r="77" spans="1:6" x14ac:dyDescent="0.35">
      <c r="A77" s="1"/>
      <c r="B77" s="2"/>
      <c r="C77" s="2"/>
      <c r="D77" s="5"/>
      <c r="E77" s="4"/>
      <c r="F77" s="3"/>
    </row>
  </sheetData>
  <conditionalFormatting sqref="F2:F77">
    <cfRule type="colorScale" priority="1">
      <colorScale>
        <cfvo type="num" val="20"/>
        <cfvo type="num" val="35"/>
        <cfvo type="num" val="50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845BD-0ACA-423E-BDAE-A599C9516686}">
  <dimension ref="A1:D96"/>
  <sheetViews>
    <sheetView workbookViewId="0">
      <selection sqref="A1:B1048576"/>
    </sheetView>
  </sheetViews>
  <sheetFormatPr defaultColWidth="15.54296875" defaultRowHeight="14.5" x14ac:dyDescent="0.35"/>
  <sheetData>
    <row r="1" spans="1:4" ht="35" x14ac:dyDescent="0.35">
      <c r="A1" s="12" t="s">
        <v>0</v>
      </c>
      <c r="B1" s="12" t="s">
        <v>10</v>
      </c>
      <c r="C1" s="12" t="s">
        <v>11</v>
      </c>
      <c r="D1" s="12" t="s">
        <v>12</v>
      </c>
    </row>
    <row r="2" spans="1:4" ht="18" x14ac:dyDescent="0.35">
      <c r="A2" s="13">
        <v>0.1</v>
      </c>
      <c r="B2" s="15">
        <v>1.0416666666666667E-4</v>
      </c>
      <c r="C2" s="13" t="s">
        <v>13</v>
      </c>
      <c r="D2" s="14">
        <v>40</v>
      </c>
    </row>
    <row r="3" spans="1:4" ht="18" x14ac:dyDescent="0.35">
      <c r="A3" s="13">
        <v>0.2</v>
      </c>
      <c r="B3" s="15">
        <v>2.0833333333333335E-4</v>
      </c>
      <c r="C3" s="13" t="s">
        <v>13</v>
      </c>
      <c r="D3" s="14">
        <v>40</v>
      </c>
    </row>
    <row r="4" spans="1:4" ht="18" x14ac:dyDescent="0.35">
      <c r="A4" s="13">
        <v>0.3</v>
      </c>
      <c r="B4" s="15">
        <v>3.1250000000000001E-4</v>
      </c>
      <c r="C4" s="13" t="s">
        <v>13</v>
      </c>
      <c r="D4" s="14">
        <v>40</v>
      </c>
    </row>
    <row r="5" spans="1:4" ht="18" x14ac:dyDescent="0.35">
      <c r="A5" s="13">
        <v>0.4</v>
      </c>
      <c r="B5" s="15">
        <v>4.1666666666666669E-4</v>
      </c>
      <c r="C5" s="13" t="s">
        <v>13</v>
      </c>
      <c r="D5" s="14">
        <v>40</v>
      </c>
    </row>
    <row r="6" spans="1:4" ht="18" x14ac:dyDescent="0.35">
      <c r="A6" s="13">
        <v>0.5</v>
      </c>
      <c r="B6" s="15">
        <v>5.2083333333333333E-4</v>
      </c>
      <c r="C6" s="13" t="s">
        <v>13</v>
      </c>
      <c r="D6" s="14">
        <v>40</v>
      </c>
    </row>
    <row r="7" spans="1:4" ht="18" x14ac:dyDescent="0.35">
      <c r="A7" s="13">
        <v>0.6</v>
      </c>
      <c r="B7" s="15">
        <v>6.2500000000000001E-4</v>
      </c>
      <c r="C7" s="13" t="s">
        <v>13</v>
      </c>
      <c r="D7" s="14">
        <v>40</v>
      </c>
    </row>
    <row r="8" spans="1:4" ht="18" x14ac:dyDescent="0.35">
      <c r="A8" s="13">
        <v>0.7</v>
      </c>
      <c r="B8" s="15">
        <v>7.291666666666667E-4</v>
      </c>
      <c r="C8" s="13" t="s">
        <v>13</v>
      </c>
      <c r="D8" s="14">
        <v>40</v>
      </c>
    </row>
    <row r="9" spans="1:4" ht="18" x14ac:dyDescent="0.35">
      <c r="A9" s="13">
        <v>0.8</v>
      </c>
      <c r="B9" s="15">
        <v>8.3333333333333339E-4</v>
      </c>
      <c r="C9" s="13" t="s">
        <v>13</v>
      </c>
      <c r="D9" s="14">
        <v>40</v>
      </c>
    </row>
    <row r="10" spans="1:4" ht="18" x14ac:dyDescent="0.35">
      <c r="A10" s="13">
        <v>0.9</v>
      </c>
      <c r="B10" s="15">
        <v>9.3749999999999997E-4</v>
      </c>
      <c r="C10" s="13" t="s">
        <v>13</v>
      </c>
      <c r="D10" s="14">
        <v>40</v>
      </c>
    </row>
    <row r="11" spans="1:4" ht="18" x14ac:dyDescent="0.35">
      <c r="A11" s="13">
        <v>1</v>
      </c>
      <c r="B11" s="15">
        <v>1.0416666666666667E-3</v>
      </c>
      <c r="C11" s="13" t="s">
        <v>13</v>
      </c>
      <c r="D11" s="14">
        <v>40</v>
      </c>
    </row>
    <row r="12" spans="1:4" ht="18" x14ac:dyDescent="0.35">
      <c r="A12" s="13">
        <v>1.1000000000000001</v>
      </c>
      <c r="B12" s="15">
        <v>1.1458333333333333E-3</v>
      </c>
      <c r="C12" s="13" t="s">
        <v>13</v>
      </c>
      <c r="D12" s="14">
        <v>40</v>
      </c>
    </row>
    <row r="13" spans="1:4" ht="18" x14ac:dyDescent="0.35">
      <c r="A13" s="13">
        <v>1.2</v>
      </c>
      <c r="B13" s="15">
        <v>1.2291666666666666E-3</v>
      </c>
      <c r="C13" s="13" t="s">
        <v>14</v>
      </c>
      <c r="D13" s="14">
        <v>50</v>
      </c>
    </row>
    <row r="14" spans="1:4" ht="18" x14ac:dyDescent="0.35">
      <c r="A14" s="13">
        <v>1.3</v>
      </c>
      <c r="B14" s="15">
        <v>1.3125000000000001E-3</v>
      </c>
      <c r="C14" s="13" t="s">
        <v>14</v>
      </c>
      <c r="D14" s="14">
        <v>50</v>
      </c>
    </row>
    <row r="15" spans="1:4" ht="18" x14ac:dyDescent="0.35">
      <c r="A15" s="13">
        <v>1.4</v>
      </c>
      <c r="B15" s="15">
        <v>1.3958333333333333E-3</v>
      </c>
      <c r="C15" s="13" t="s">
        <v>14</v>
      </c>
      <c r="D15" s="14">
        <v>50</v>
      </c>
    </row>
    <row r="16" spans="1:4" ht="18" x14ac:dyDescent="0.35">
      <c r="A16" s="13">
        <v>1.5</v>
      </c>
      <c r="B16" s="15">
        <v>1.4791666666666666E-3</v>
      </c>
      <c r="C16" s="13" t="s">
        <v>14</v>
      </c>
      <c r="D16" s="14">
        <v>50</v>
      </c>
    </row>
    <row r="17" spans="1:4" ht="18" x14ac:dyDescent="0.35">
      <c r="A17" s="13">
        <v>1.6</v>
      </c>
      <c r="B17" s="15">
        <v>1.5625000000000001E-3</v>
      </c>
      <c r="C17" s="13" t="s">
        <v>14</v>
      </c>
      <c r="D17" s="14">
        <v>50</v>
      </c>
    </row>
    <row r="18" spans="1:4" ht="18" x14ac:dyDescent="0.35">
      <c r="A18" s="13">
        <v>1.7</v>
      </c>
      <c r="B18" s="15">
        <v>1.6458333333333331E-3</v>
      </c>
      <c r="C18" s="13" t="s">
        <v>14</v>
      </c>
      <c r="D18" s="14">
        <v>50</v>
      </c>
    </row>
    <row r="19" spans="1:4" ht="18" x14ac:dyDescent="0.35">
      <c r="A19" s="13">
        <v>1.8</v>
      </c>
      <c r="B19" s="15">
        <v>1.7291666666666668E-3</v>
      </c>
      <c r="C19" s="13" t="s">
        <v>14</v>
      </c>
      <c r="D19" s="14">
        <v>50</v>
      </c>
    </row>
    <row r="20" spans="1:4" ht="18" x14ac:dyDescent="0.35">
      <c r="A20" s="13">
        <v>1.9</v>
      </c>
      <c r="B20" s="15">
        <v>1.8124999999999999E-3</v>
      </c>
      <c r="C20" s="13" t="s">
        <v>14</v>
      </c>
      <c r="D20" s="14">
        <v>50</v>
      </c>
    </row>
    <row r="21" spans="1:4" ht="18" x14ac:dyDescent="0.35">
      <c r="A21" s="13">
        <v>2</v>
      </c>
      <c r="B21" s="15">
        <v>1.8958333333333336E-3</v>
      </c>
      <c r="C21" s="13" t="s">
        <v>14</v>
      </c>
      <c r="D21" s="14">
        <v>50</v>
      </c>
    </row>
    <row r="22" spans="1:4" ht="18" x14ac:dyDescent="0.35">
      <c r="A22" s="13">
        <v>2.1</v>
      </c>
      <c r="B22" s="15">
        <v>1.9791666666666668E-3</v>
      </c>
      <c r="C22" s="13" t="s">
        <v>14</v>
      </c>
      <c r="D22" s="14">
        <v>50</v>
      </c>
    </row>
    <row r="23" spans="1:4" ht="18" x14ac:dyDescent="0.35">
      <c r="A23" s="13">
        <v>2.2000000000000002</v>
      </c>
      <c r="B23" s="15">
        <v>2.0624999999999997E-3</v>
      </c>
      <c r="C23" s="13" t="s">
        <v>14</v>
      </c>
      <c r="D23" s="14">
        <v>50</v>
      </c>
    </row>
    <row r="24" spans="1:4" ht="18" x14ac:dyDescent="0.35">
      <c r="A24" s="13">
        <v>2.2999999999999998</v>
      </c>
      <c r="B24" s="15">
        <v>2.1458333333333334E-3</v>
      </c>
      <c r="C24" s="13" t="s">
        <v>14</v>
      </c>
      <c r="D24" s="14">
        <v>50</v>
      </c>
    </row>
    <row r="25" spans="1:4" ht="18" x14ac:dyDescent="0.35">
      <c r="A25" s="13">
        <v>2.4</v>
      </c>
      <c r="B25" s="15">
        <v>2.2291666666666666E-3</v>
      </c>
      <c r="C25" s="13" t="s">
        <v>14</v>
      </c>
      <c r="D25" s="14">
        <v>50</v>
      </c>
    </row>
    <row r="26" spans="1:4" ht="18" x14ac:dyDescent="0.35">
      <c r="A26" s="13">
        <v>2.5</v>
      </c>
      <c r="B26" s="15">
        <v>2.3125000000000003E-3</v>
      </c>
      <c r="C26" s="13" t="s">
        <v>14</v>
      </c>
      <c r="D26" s="14">
        <v>50</v>
      </c>
    </row>
    <row r="27" spans="1:4" ht="18" x14ac:dyDescent="0.35">
      <c r="A27" s="13">
        <v>2.6</v>
      </c>
      <c r="B27" s="15">
        <v>2.3958333333333331E-3</v>
      </c>
      <c r="C27" s="13" t="s">
        <v>14</v>
      </c>
      <c r="D27" s="14">
        <v>50</v>
      </c>
    </row>
    <row r="28" spans="1:4" ht="18" x14ac:dyDescent="0.35">
      <c r="A28" s="13">
        <v>2.7</v>
      </c>
      <c r="B28" s="15">
        <v>2.4791666666666664E-3</v>
      </c>
      <c r="C28" s="13" t="s">
        <v>14</v>
      </c>
      <c r="D28" s="14">
        <v>50</v>
      </c>
    </row>
    <row r="29" spans="1:4" ht="18" x14ac:dyDescent="0.35">
      <c r="A29" s="13">
        <v>2.8</v>
      </c>
      <c r="B29" s="15">
        <v>2.5625000000000001E-3</v>
      </c>
      <c r="C29" s="13" t="s">
        <v>14</v>
      </c>
      <c r="D29" s="14">
        <v>50</v>
      </c>
    </row>
    <row r="30" spans="1:4" ht="18" x14ac:dyDescent="0.35">
      <c r="A30" s="13">
        <v>2.9</v>
      </c>
      <c r="B30" s="15">
        <v>2.6458333333333334E-3</v>
      </c>
      <c r="C30" s="13" t="s">
        <v>14</v>
      </c>
      <c r="D30" s="14">
        <v>50</v>
      </c>
    </row>
    <row r="31" spans="1:4" ht="18" x14ac:dyDescent="0.35">
      <c r="A31" s="13">
        <v>3</v>
      </c>
      <c r="B31" s="15">
        <v>2.7291666666666666E-3</v>
      </c>
      <c r="C31" s="13" t="s">
        <v>14</v>
      </c>
      <c r="D31" s="14">
        <v>50</v>
      </c>
    </row>
    <row r="32" spans="1:4" ht="18" x14ac:dyDescent="0.35">
      <c r="A32" s="13">
        <v>3.1</v>
      </c>
      <c r="B32" s="15">
        <v>2.8124999999999999E-3</v>
      </c>
      <c r="C32" s="13" t="s">
        <v>14</v>
      </c>
      <c r="D32" s="14">
        <v>50</v>
      </c>
    </row>
    <row r="33" spans="1:4" ht="18" x14ac:dyDescent="0.35">
      <c r="A33" s="13">
        <v>3.2</v>
      </c>
      <c r="B33" s="15">
        <v>2.8958333333333332E-3</v>
      </c>
      <c r="C33" s="13" t="s">
        <v>14</v>
      </c>
      <c r="D33" s="14">
        <v>50</v>
      </c>
    </row>
    <row r="34" spans="1:4" ht="18" x14ac:dyDescent="0.35">
      <c r="A34" s="13">
        <v>3.4</v>
      </c>
      <c r="B34" s="15">
        <v>3.0625000000000001E-3</v>
      </c>
      <c r="C34" s="13" t="s">
        <v>15</v>
      </c>
      <c r="D34" s="14">
        <v>50</v>
      </c>
    </row>
    <row r="35" spans="1:4" ht="18" x14ac:dyDescent="0.35">
      <c r="A35" s="13">
        <v>3.5</v>
      </c>
      <c r="B35" s="15">
        <v>3.1458333333333334E-3</v>
      </c>
      <c r="C35" s="13" t="s">
        <v>14</v>
      </c>
      <c r="D35" s="14">
        <v>50</v>
      </c>
    </row>
    <row r="36" spans="1:4" ht="18" x14ac:dyDescent="0.35">
      <c r="A36" s="13">
        <v>3.6</v>
      </c>
      <c r="B36" s="15">
        <v>3.2291666666666666E-3</v>
      </c>
      <c r="C36" s="13" t="s">
        <v>14</v>
      </c>
      <c r="D36" s="14">
        <v>50</v>
      </c>
    </row>
    <row r="37" spans="1:4" ht="18" x14ac:dyDescent="0.35">
      <c r="A37" s="13">
        <v>3.7</v>
      </c>
      <c r="B37" s="15">
        <v>3.3124999999999999E-3</v>
      </c>
      <c r="C37" s="13" t="s">
        <v>14</v>
      </c>
      <c r="D37" s="14">
        <v>50</v>
      </c>
    </row>
    <row r="38" spans="1:4" ht="18" x14ac:dyDescent="0.35">
      <c r="A38" s="13">
        <v>3.8</v>
      </c>
      <c r="B38" s="15">
        <v>3.3958333333333332E-3</v>
      </c>
      <c r="C38" s="13" t="s">
        <v>14</v>
      </c>
      <c r="D38" s="14">
        <v>50</v>
      </c>
    </row>
    <row r="39" spans="1:4" ht="18" x14ac:dyDescent="0.35">
      <c r="A39" s="13">
        <v>3.9</v>
      </c>
      <c r="B39" s="15">
        <v>3.4791666666666669E-3</v>
      </c>
      <c r="C39" s="13" t="s">
        <v>14</v>
      </c>
      <c r="D39" s="14">
        <v>50</v>
      </c>
    </row>
    <row r="40" spans="1:4" ht="18" x14ac:dyDescent="0.35">
      <c r="A40" s="13">
        <v>4</v>
      </c>
      <c r="B40" s="15">
        <v>3.5787037037037037E-3</v>
      </c>
      <c r="C40" s="13" t="s">
        <v>16</v>
      </c>
      <c r="D40" s="14">
        <v>41.86</v>
      </c>
    </row>
    <row r="41" spans="1:4" ht="18" x14ac:dyDescent="0.35">
      <c r="A41" s="13">
        <v>4.0999999999999996</v>
      </c>
      <c r="B41" s="15">
        <v>3.6828703703703702E-3</v>
      </c>
      <c r="C41" s="13" t="s">
        <v>13</v>
      </c>
      <c r="D41" s="14">
        <v>40</v>
      </c>
    </row>
    <row r="42" spans="1:4" ht="18" x14ac:dyDescent="0.35">
      <c r="A42" s="13">
        <v>4.2</v>
      </c>
      <c r="B42" s="15">
        <v>3.7974537037037039E-3</v>
      </c>
      <c r="C42" s="13" t="s">
        <v>17</v>
      </c>
      <c r="D42" s="14">
        <v>36.36</v>
      </c>
    </row>
    <row r="43" spans="1:4" ht="18" x14ac:dyDescent="0.35">
      <c r="A43" s="13">
        <v>4.3</v>
      </c>
      <c r="B43" s="15">
        <v>3.9016203703703708E-3</v>
      </c>
      <c r="C43" s="13" t="s">
        <v>13</v>
      </c>
      <c r="D43" s="14">
        <v>40</v>
      </c>
    </row>
    <row r="44" spans="1:4" ht="18" x14ac:dyDescent="0.35">
      <c r="A44" s="13">
        <v>4.4000000000000004</v>
      </c>
      <c r="B44" s="15">
        <v>4.0057870370370369E-3</v>
      </c>
      <c r="C44" s="13" t="s">
        <v>13</v>
      </c>
      <c r="D44" s="14">
        <v>40</v>
      </c>
    </row>
    <row r="45" spans="1:4" ht="18" x14ac:dyDescent="0.35">
      <c r="A45" s="13">
        <v>4.5</v>
      </c>
      <c r="B45" s="15">
        <v>4.1099537037037042E-3</v>
      </c>
      <c r="C45" s="13" t="s">
        <v>13</v>
      </c>
      <c r="D45" s="14">
        <v>40</v>
      </c>
    </row>
    <row r="46" spans="1:4" ht="18" x14ac:dyDescent="0.35">
      <c r="A46" s="13">
        <v>4.5999999999999996</v>
      </c>
      <c r="B46" s="15">
        <v>4.2291666666666667E-3</v>
      </c>
      <c r="C46" s="13" t="s">
        <v>18</v>
      </c>
      <c r="D46" s="14">
        <v>34.950000000000003</v>
      </c>
    </row>
    <row r="47" spans="1:4" ht="18" x14ac:dyDescent="0.35">
      <c r="A47" s="13">
        <v>4.7</v>
      </c>
      <c r="B47" s="15">
        <v>4.3483796296296291E-3</v>
      </c>
      <c r="C47" s="13" t="s">
        <v>18</v>
      </c>
      <c r="D47" s="14">
        <v>34.950000000000003</v>
      </c>
    </row>
    <row r="48" spans="1:4" ht="18" x14ac:dyDescent="0.35">
      <c r="A48" s="13">
        <v>4.8</v>
      </c>
      <c r="B48" s="15">
        <v>4.4675925925925924E-3</v>
      </c>
      <c r="C48" s="13" t="s">
        <v>18</v>
      </c>
      <c r="D48" s="14">
        <v>34.950000000000003</v>
      </c>
    </row>
    <row r="49" spans="1:4" ht="18" x14ac:dyDescent="0.35">
      <c r="A49" s="13">
        <v>4.9000000000000004</v>
      </c>
      <c r="B49" s="15">
        <v>4.5578703703703701E-3</v>
      </c>
      <c r="C49" s="13" t="s">
        <v>19</v>
      </c>
      <c r="D49" s="14">
        <v>46.15</v>
      </c>
    </row>
    <row r="50" spans="1:4" ht="18" x14ac:dyDescent="0.35">
      <c r="A50" s="13">
        <v>5</v>
      </c>
      <c r="B50" s="15">
        <v>4.6412037037037038E-3</v>
      </c>
      <c r="C50" s="13" t="s">
        <v>14</v>
      </c>
      <c r="D50" s="14">
        <v>50</v>
      </c>
    </row>
    <row r="51" spans="1:4" ht="18" x14ac:dyDescent="0.35">
      <c r="A51" s="13">
        <v>5.0999999999999996</v>
      </c>
      <c r="B51" s="15">
        <v>4.7245370370370366E-3</v>
      </c>
      <c r="C51" s="13" t="s">
        <v>14</v>
      </c>
      <c r="D51" s="14">
        <v>50</v>
      </c>
    </row>
    <row r="52" spans="1:4" ht="18" x14ac:dyDescent="0.35">
      <c r="A52" s="13">
        <v>5.2</v>
      </c>
      <c r="B52" s="15">
        <v>4.8078703703703703E-3</v>
      </c>
      <c r="C52" s="13" t="s">
        <v>14</v>
      </c>
      <c r="D52" s="14">
        <v>50</v>
      </c>
    </row>
    <row r="53" spans="1:4" ht="18" x14ac:dyDescent="0.35">
      <c r="A53" s="13">
        <v>5.3</v>
      </c>
      <c r="B53" s="15">
        <v>4.891203703703704E-3</v>
      </c>
      <c r="C53" s="13" t="s">
        <v>14</v>
      </c>
      <c r="D53" s="14">
        <v>50</v>
      </c>
    </row>
    <row r="54" spans="1:4" ht="18" x14ac:dyDescent="0.35">
      <c r="A54" s="13">
        <v>5.4</v>
      </c>
      <c r="B54" s="15">
        <v>4.9745370370370369E-3</v>
      </c>
      <c r="C54" s="13" t="s">
        <v>14</v>
      </c>
      <c r="D54" s="14">
        <v>50</v>
      </c>
    </row>
    <row r="55" spans="1:4" ht="18" x14ac:dyDescent="0.35">
      <c r="A55" s="13">
        <v>5.5</v>
      </c>
      <c r="B55" s="15">
        <v>5.0578703703703706E-3</v>
      </c>
      <c r="C55" s="13" t="s">
        <v>14</v>
      </c>
      <c r="D55" s="14">
        <v>50</v>
      </c>
    </row>
    <row r="56" spans="1:4" ht="18" x14ac:dyDescent="0.35">
      <c r="A56" s="13">
        <v>5.6</v>
      </c>
      <c r="B56" s="15">
        <v>5.1412037037037034E-3</v>
      </c>
      <c r="C56" s="13" t="s">
        <v>14</v>
      </c>
      <c r="D56" s="14">
        <v>50</v>
      </c>
    </row>
    <row r="57" spans="1:4" ht="18" x14ac:dyDescent="0.35">
      <c r="A57" s="13">
        <v>5.7</v>
      </c>
      <c r="B57" s="15">
        <v>5.2245370370370371E-3</v>
      </c>
      <c r="C57" s="13" t="s">
        <v>14</v>
      </c>
      <c r="D57" s="14">
        <v>50</v>
      </c>
    </row>
    <row r="58" spans="1:4" ht="18" x14ac:dyDescent="0.35">
      <c r="A58" s="13">
        <v>5.8</v>
      </c>
      <c r="B58" s="15">
        <v>5.3078703703703708E-3</v>
      </c>
      <c r="C58" s="13" t="s">
        <v>14</v>
      </c>
      <c r="D58" s="14">
        <v>50</v>
      </c>
    </row>
    <row r="59" spans="1:4" ht="18" x14ac:dyDescent="0.35">
      <c r="A59" s="13">
        <v>5.9</v>
      </c>
      <c r="B59" s="15">
        <v>5.3912037037037036E-3</v>
      </c>
      <c r="C59" s="13" t="s">
        <v>14</v>
      </c>
      <c r="D59" s="14">
        <v>50</v>
      </c>
    </row>
    <row r="60" spans="1:4" ht="18" x14ac:dyDescent="0.35">
      <c r="A60" s="13">
        <v>6</v>
      </c>
      <c r="B60" s="15">
        <v>5.4745370370370373E-3</v>
      </c>
      <c r="C60" s="13" t="s">
        <v>14</v>
      </c>
      <c r="D60" s="14">
        <v>50</v>
      </c>
    </row>
    <row r="61" spans="1:4" ht="18" x14ac:dyDescent="0.35">
      <c r="A61" s="13">
        <v>6.1</v>
      </c>
      <c r="B61" s="15">
        <v>5.5578703703703701E-3</v>
      </c>
      <c r="C61" s="13" t="s">
        <v>14</v>
      </c>
      <c r="D61" s="14">
        <v>50</v>
      </c>
    </row>
    <row r="62" spans="1:4" ht="18" x14ac:dyDescent="0.35">
      <c r="A62" s="13">
        <v>6.2</v>
      </c>
      <c r="B62" s="15">
        <v>5.6412037037037038E-3</v>
      </c>
      <c r="C62" s="13" t="s">
        <v>14</v>
      </c>
      <c r="D62" s="14">
        <v>50</v>
      </c>
    </row>
    <row r="63" spans="1:4" ht="18" x14ac:dyDescent="0.35">
      <c r="A63" s="13">
        <v>6.3</v>
      </c>
      <c r="B63" s="15">
        <v>5.7245370370370375E-3</v>
      </c>
      <c r="C63" s="13" t="s">
        <v>14</v>
      </c>
      <c r="D63" s="14">
        <v>50</v>
      </c>
    </row>
    <row r="64" spans="1:4" ht="18" x14ac:dyDescent="0.35">
      <c r="A64" s="13">
        <v>6.4</v>
      </c>
      <c r="B64" s="15">
        <v>5.8078703703703704E-3</v>
      </c>
      <c r="C64" s="13" t="s">
        <v>14</v>
      </c>
      <c r="D64" s="14">
        <v>50</v>
      </c>
    </row>
    <row r="65" spans="1:4" ht="18" x14ac:dyDescent="0.35">
      <c r="A65" s="13">
        <v>6.5</v>
      </c>
      <c r="B65" s="15">
        <v>5.8912037037037041E-3</v>
      </c>
      <c r="C65" s="13" t="s">
        <v>14</v>
      </c>
      <c r="D65" s="14">
        <v>50</v>
      </c>
    </row>
    <row r="66" spans="1:4" ht="18" x14ac:dyDescent="0.35">
      <c r="A66" s="13">
        <v>6.6</v>
      </c>
      <c r="B66" s="15">
        <v>5.9745370370370377E-3</v>
      </c>
      <c r="C66" s="13" t="s">
        <v>14</v>
      </c>
      <c r="D66" s="14">
        <v>50</v>
      </c>
    </row>
    <row r="67" spans="1:4" ht="18" x14ac:dyDescent="0.35">
      <c r="A67" s="13">
        <v>6.8</v>
      </c>
      <c r="B67" s="15">
        <v>6.1412037037037043E-3</v>
      </c>
      <c r="C67" s="13" t="s">
        <v>15</v>
      </c>
      <c r="D67" s="14">
        <v>50</v>
      </c>
    </row>
    <row r="68" spans="1:4" ht="18" x14ac:dyDescent="0.35">
      <c r="A68" s="13">
        <v>6.9</v>
      </c>
      <c r="B68" s="15">
        <v>6.2245370370370362E-3</v>
      </c>
      <c r="C68" s="13" t="s">
        <v>14</v>
      </c>
      <c r="D68" s="14">
        <v>50</v>
      </c>
    </row>
    <row r="69" spans="1:4" ht="18" x14ac:dyDescent="0.35">
      <c r="A69" s="13">
        <v>7</v>
      </c>
      <c r="B69" s="15">
        <v>6.3078703703703708E-3</v>
      </c>
      <c r="C69" s="13" t="s">
        <v>14</v>
      </c>
      <c r="D69" s="14">
        <v>50</v>
      </c>
    </row>
    <row r="70" spans="1:4" ht="18" x14ac:dyDescent="0.35">
      <c r="A70" s="13">
        <v>7.1</v>
      </c>
      <c r="B70" s="15">
        <v>6.3912037037037045E-3</v>
      </c>
      <c r="C70" s="13" t="s">
        <v>14</v>
      </c>
      <c r="D70" s="14">
        <v>50</v>
      </c>
    </row>
    <row r="71" spans="1:4" ht="18" x14ac:dyDescent="0.35">
      <c r="A71" s="13">
        <v>7.2</v>
      </c>
      <c r="B71" s="15">
        <v>6.4745370370370365E-3</v>
      </c>
      <c r="C71" s="13" t="s">
        <v>14</v>
      </c>
      <c r="D71" s="14">
        <v>50</v>
      </c>
    </row>
    <row r="72" spans="1:4" ht="18" x14ac:dyDescent="0.35">
      <c r="A72" s="13">
        <v>7.3</v>
      </c>
      <c r="B72" s="15">
        <v>6.557870370370371E-3</v>
      </c>
      <c r="C72" s="13" t="s">
        <v>14</v>
      </c>
      <c r="D72" s="14">
        <v>50</v>
      </c>
    </row>
    <row r="73" spans="1:4" ht="18" x14ac:dyDescent="0.35">
      <c r="A73" s="13">
        <v>7.4</v>
      </c>
      <c r="B73" s="15">
        <v>6.641203703703703E-3</v>
      </c>
      <c r="C73" s="13" t="s">
        <v>14</v>
      </c>
      <c r="D73" s="14">
        <v>50</v>
      </c>
    </row>
    <row r="74" spans="1:4" ht="18" x14ac:dyDescent="0.35">
      <c r="A74" s="13">
        <v>7.5</v>
      </c>
      <c r="B74" s="15">
        <v>6.7245370370370367E-3</v>
      </c>
      <c r="C74" s="13" t="s">
        <v>14</v>
      </c>
      <c r="D74" s="14">
        <v>50</v>
      </c>
    </row>
    <row r="75" spans="1:4" ht="18" x14ac:dyDescent="0.35">
      <c r="A75" s="13">
        <v>7.6</v>
      </c>
      <c r="B75" s="15">
        <v>6.8078703703703712E-3</v>
      </c>
      <c r="C75" s="13" t="s">
        <v>14</v>
      </c>
      <c r="D75" s="14">
        <v>50</v>
      </c>
    </row>
    <row r="76" spans="1:4" ht="18" x14ac:dyDescent="0.35">
      <c r="A76" s="13">
        <v>7.7</v>
      </c>
      <c r="B76" s="15">
        <v>6.8912037037037032E-3</v>
      </c>
      <c r="C76" s="13" t="s">
        <v>14</v>
      </c>
      <c r="D76" s="14">
        <v>50</v>
      </c>
    </row>
    <row r="77" spans="1:4" ht="18" x14ac:dyDescent="0.35">
      <c r="A77" s="13">
        <v>7.8</v>
      </c>
      <c r="B77" s="15">
        <v>6.9745370370370369E-3</v>
      </c>
      <c r="C77" s="13" t="s">
        <v>14</v>
      </c>
      <c r="D77" s="14">
        <v>50</v>
      </c>
    </row>
    <row r="78" spans="1:4" ht="18" x14ac:dyDescent="0.35">
      <c r="A78" s="13">
        <v>7.9</v>
      </c>
      <c r="B78" s="15">
        <v>7.0578703703703697E-3</v>
      </c>
      <c r="C78" s="13" t="s">
        <v>14</v>
      </c>
      <c r="D78" s="14">
        <v>50</v>
      </c>
    </row>
    <row r="79" spans="1:4" ht="18" x14ac:dyDescent="0.35">
      <c r="A79" s="13">
        <v>8</v>
      </c>
      <c r="B79" s="15">
        <v>7.1412037037037034E-3</v>
      </c>
      <c r="C79" s="13" t="s">
        <v>14</v>
      </c>
      <c r="D79" s="14">
        <v>50</v>
      </c>
    </row>
    <row r="80" spans="1:4" ht="18" x14ac:dyDescent="0.35">
      <c r="A80" s="13">
        <v>8.1</v>
      </c>
      <c r="B80" s="15">
        <v>7.224537037037038E-3</v>
      </c>
      <c r="C80" s="13" t="s">
        <v>14</v>
      </c>
      <c r="D80" s="14">
        <v>50</v>
      </c>
    </row>
    <row r="81" spans="1:4" ht="18" x14ac:dyDescent="0.35">
      <c r="A81" s="13">
        <v>8.1999999999999993</v>
      </c>
      <c r="B81" s="15">
        <v>7.30787037037037E-3</v>
      </c>
      <c r="C81" s="13" t="s">
        <v>14</v>
      </c>
      <c r="D81" s="14">
        <v>50</v>
      </c>
    </row>
    <row r="82" spans="1:4" ht="18" x14ac:dyDescent="0.35">
      <c r="A82" s="13">
        <v>8.3000000000000007</v>
      </c>
      <c r="B82" s="15">
        <v>7.3912037037037037E-3</v>
      </c>
      <c r="C82" s="13" t="s">
        <v>14</v>
      </c>
      <c r="D82" s="14">
        <v>50</v>
      </c>
    </row>
    <row r="83" spans="1:4" ht="18" x14ac:dyDescent="0.35">
      <c r="A83" s="13">
        <v>8.4</v>
      </c>
      <c r="B83" s="15">
        <v>7.4745370370370365E-3</v>
      </c>
      <c r="C83" s="13" t="s">
        <v>14</v>
      </c>
      <c r="D83" s="14">
        <v>50</v>
      </c>
    </row>
    <row r="84" spans="1:4" ht="18" x14ac:dyDescent="0.35">
      <c r="A84" s="13">
        <v>8.5</v>
      </c>
      <c r="B84" s="15">
        <v>7.5578703703703702E-3</v>
      </c>
      <c r="C84" s="13" t="s">
        <v>14</v>
      </c>
      <c r="D84" s="14">
        <v>50</v>
      </c>
    </row>
    <row r="85" spans="1:4" ht="18" x14ac:dyDescent="0.35">
      <c r="A85" s="13">
        <v>8.6</v>
      </c>
      <c r="B85" s="15">
        <v>7.6412037037037039E-3</v>
      </c>
      <c r="C85" s="13" t="s">
        <v>14</v>
      </c>
      <c r="D85" s="14">
        <v>50</v>
      </c>
    </row>
    <row r="86" spans="1:4" ht="18" x14ac:dyDescent="0.35">
      <c r="A86" s="13">
        <v>8.6999999999999993</v>
      </c>
      <c r="B86" s="15">
        <v>7.7245370370370367E-3</v>
      </c>
      <c r="C86" s="13" t="s">
        <v>14</v>
      </c>
      <c r="D86" s="14">
        <v>50</v>
      </c>
    </row>
    <row r="87" spans="1:4" ht="18" x14ac:dyDescent="0.35">
      <c r="A87" s="13">
        <v>8.8000000000000007</v>
      </c>
      <c r="B87" s="15">
        <v>7.8078703703703704E-3</v>
      </c>
      <c r="C87" s="13" t="s">
        <v>14</v>
      </c>
      <c r="D87" s="14">
        <v>50</v>
      </c>
    </row>
    <row r="88" spans="1:4" ht="18" x14ac:dyDescent="0.35">
      <c r="A88" s="13">
        <v>8.9</v>
      </c>
      <c r="B88" s="15">
        <v>7.8912037037037024E-3</v>
      </c>
      <c r="C88" s="13" t="s">
        <v>14</v>
      </c>
      <c r="D88" s="14">
        <v>50</v>
      </c>
    </row>
    <row r="89" spans="1:4" ht="18" x14ac:dyDescent="0.35">
      <c r="A89" s="13">
        <v>9</v>
      </c>
      <c r="B89" s="15">
        <v>7.9745370370370369E-3</v>
      </c>
      <c r="C89" s="13" t="s">
        <v>14</v>
      </c>
      <c r="D89" s="14">
        <v>50</v>
      </c>
    </row>
    <row r="90" spans="1:4" ht="18" x14ac:dyDescent="0.35">
      <c r="A90" s="13">
        <v>9.1</v>
      </c>
      <c r="B90" s="15">
        <v>8.0578703703703715E-3</v>
      </c>
      <c r="C90" s="13" t="s">
        <v>14</v>
      </c>
      <c r="D90" s="14">
        <v>50</v>
      </c>
    </row>
    <row r="91" spans="1:4" ht="18" x14ac:dyDescent="0.35">
      <c r="A91" s="13">
        <v>9.1999999999999993</v>
      </c>
      <c r="B91" s="15">
        <v>8.1412037037037026E-3</v>
      </c>
      <c r="C91" s="13" t="s">
        <v>14</v>
      </c>
      <c r="D91" s="14">
        <v>50</v>
      </c>
    </row>
    <row r="92" spans="1:4" ht="18" x14ac:dyDescent="0.35">
      <c r="A92" s="13">
        <v>9.3000000000000007</v>
      </c>
      <c r="B92" s="15">
        <v>8.2245370370370371E-3</v>
      </c>
      <c r="C92" s="13" t="s">
        <v>14</v>
      </c>
      <c r="D92" s="14">
        <v>50</v>
      </c>
    </row>
    <row r="93" spans="1:4" ht="18" x14ac:dyDescent="0.35">
      <c r="A93" s="13">
        <v>9.4</v>
      </c>
      <c r="B93" s="15">
        <v>8.3148148148148148E-3</v>
      </c>
      <c r="C93" s="13" t="s">
        <v>19</v>
      </c>
      <c r="D93" s="14">
        <v>46.15</v>
      </c>
    </row>
    <row r="94" spans="1:4" ht="18" x14ac:dyDescent="0.35">
      <c r="A94" s="13">
        <v>9.5</v>
      </c>
      <c r="B94" s="15">
        <v>8.4340277777777781E-3</v>
      </c>
      <c r="C94" s="13" t="s">
        <v>18</v>
      </c>
      <c r="D94" s="14">
        <v>34.950000000000003</v>
      </c>
    </row>
    <row r="95" spans="1:4" ht="18" x14ac:dyDescent="0.35">
      <c r="A95" s="13">
        <v>9.6</v>
      </c>
      <c r="B95" s="15">
        <v>8.5532407407407415E-3</v>
      </c>
      <c r="C95" s="13" t="s">
        <v>18</v>
      </c>
      <c r="D95" s="14">
        <v>34.950000000000003</v>
      </c>
    </row>
    <row r="96" spans="1:4" ht="18" x14ac:dyDescent="0.35">
      <c r="A96" s="13">
        <v>9.65</v>
      </c>
      <c r="B96" s="15">
        <v>8.6122685185185191E-3</v>
      </c>
      <c r="C96" s="13" t="s">
        <v>20</v>
      </c>
      <c r="D96" s="14">
        <v>35.29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A913A-FD10-4466-AE18-98F8910FDC4A}">
  <dimension ref="A1:N7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52" sqref="C52"/>
    </sheetView>
  </sheetViews>
  <sheetFormatPr defaultRowHeight="14.5" x14ac:dyDescent="0.35"/>
  <cols>
    <col min="1" max="1" width="12.6328125" bestFit="1" customWidth="1"/>
    <col min="2" max="2" width="15.90625" bestFit="1" customWidth="1"/>
    <col min="3" max="3" width="15.90625" customWidth="1"/>
    <col min="6" max="6" width="9.36328125" bestFit="1" customWidth="1"/>
    <col min="10" max="10" width="8.90625" bestFit="1" customWidth="1"/>
  </cols>
  <sheetData>
    <row r="1" spans="1:14" s="6" customFormat="1" ht="31.5" customHeight="1" x14ac:dyDescent="0.35">
      <c r="A1" s="6" t="s">
        <v>0</v>
      </c>
      <c r="B1" s="6" t="s">
        <v>1</v>
      </c>
      <c r="C1" s="6" t="s">
        <v>5</v>
      </c>
      <c r="D1" s="6" t="s">
        <v>2</v>
      </c>
      <c r="E1" s="6" t="s">
        <v>3</v>
      </c>
      <c r="F1" s="6" t="s">
        <v>4</v>
      </c>
      <c r="H1" s="7" t="s">
        <v>8</v>
      </c>
      <c r="I1" s="7" t="s">
        <v>6</v>
      </c>
      <c r="J1" s="7" t="s">
        <v>4</v>
      </c>
      <c r="K1" s="7" t="s">
        <v>7</v>
      </c>
      <c r="M1" s="6" t="str">
        <f t="shared" ref="M1:M12" si="0">I1</f>
        <v>Distancia hasta</v>
      </c>
      <c r="N1" s="6" t="s">
        <v>9</v>
      </c>
    </row>
    <row r="2" spans="1:14" x14ac:dyDescent="0.35">
      <c r="A2">
        <v>0</v>
      </c>
      <c r="B2" s="2">
        <v>0</v>
      </c>
      <c r="C2" s="2">
        <v>0</v>
      </c>
      <c r="D2" s="5">
        <f>A2/1000</f>
        <v>0</v>
      </c>
      <c r="E2" s="4">
        <f>B2*24*3600</f>
        <v>0</v>
      </c>
      <c r="F2" s="3">
        <f>F3</f>
        <v>25</v>
      </c>
      <c r="H2" s="8">
        <v>0</v>
      </c>
      <c r="I2" s="9">
        <v>0.3</v>
      </c>
      <c r="J2" s="10">
        <v>24.999999999999989</v>
      </c>
      <c r="K2" s="11">
        <f t="shared" ref="K2:K11" si="1">(I2-H2)/J2*3600</f>
        <v>43.200000000000017</v>
      </c>
      <c r="M2" s="5">
        <f t="shared" si="0"/>
        <v>0.3</v>
      </c>
      <c r="N2" s="2">
        <f>K2/24/3600</f>
        <v>5.0000000000000023E-4</v>
      </c>
    </row>
    <row r="3" spans="1:14" x14ac:dyDescent="0.35">
      <c r="A3">
        <v>100</v>
      </c>
      <c r="B3" s="2">
        <v>1.6666666666666666E-4</v>
      </c>
      <c r="C3" s="2">
        <f>(B3-B2)</f>
        <v>1.6666666666666666E-4</v>
      </c>
      <c r="D3" s="5">
        <f t="shared" ref="D3:D66" si="2">A3/1000</f>
        <v>0.1</v>
      </c>
      <c r="E3" s="4">
        <f t="shared" ref="E3:E66" si="3">B3*24*3600</f>
        <v>14.4</v>
      </c>
      <c r="F3" s="3">
        <f>(D3-D2)/((E3-E2)/3600)</f>
        <v>25</v>
      </c>
      <c r="H3" s="9">
        <f>I2</f>
        <v>0.3</v>
      </c>
      <c r="I3" s="9">
        <v>0.6</v>
      </c>
      <c r="J3" s="10">
        <v>30.000000000000032</v>
      </c>
      <c r="K3" s="11">
        <f t="shared" si="1"/>
        <v>35.999999999999964</v>
      </c>
      <c r="M3" s="5">
        <f t="shared" si="0"/>
        <v>0.6</v>
      </c>
      <c r="N3" s="2">
        <f t="shared" ref="N3:N12" si="4">N2+K3/24/3600</f>
        <v>9.1666666666666654E-4</v>
      </c>
    </row>
    <row r="4" spans="1:14" x14ac:dyDescent="0.35">
      <c r="A4">
        <v>200</v>
      </c>
      <c r="B4" s="2">
        <v>3.3333333333333332E-4</v>
      </c>
      <c r="C4" s="2"/>
      <c r="D4" s="5">
        <f t="shared" si="2"/>
        <v>0.2</v>
      </c>
      <c r="E4" s="4">
        <f t="shared" si="3"/>
        <v>28.8</v>
      </c>
      <c r="F4" s="3">
        <f t="shared" ref="F4:F67" si="5">(D4-D3)/((E4-E3)/3600)</f>
        <v>25</v>
      </c>
      <c r="H4" s="9">
        <f t="shared" ref="H4:H12" si="6">I3</f>
        <v>0.6</v>
      </c>
      <c r="I4" s="9">
        <v>2.6</v>
      </c>
      <c r="J4" s="10">
        <v>50.000000000000121</v>
      </c>
      <c r="K4" s="11">
        <f t="shared" si="1"/>
        <v>143.99999999999966</v>
      </c>
      <c r="M4" s="5">
        <f t="shared" si="0"/>
        <v>2.6</v>
      </c>
      <c r="N4" s="2">
        <f t="shared" si="4"/>
        <v>2.583333333333329E-3</v>
      </c>
    </row>
    <row r="5" spans="1:14" x14ac:dyDescent="0.35">
      <c r="A5">
        <v>300</v>
      </c>
      <c r="B5" s="2">
        <v>5.0000000000000001E-4</v>
      </c>
      <c r="C5" s="2"/>
      <c r="D5" s="5">
        <f t="shared" si="2"/>
        <v>0.3</v>
      </c>
      <c r="E5" s="4">
        <f t="shared" si="3"/>
        <v>43.2</v>
      </c>
      <c r="F5" s="3">
        <f t="shared" si="5"/>
        <v>24.999999999999989</v>
      </c>
      <c r="H5" s="9">
        <f t="shared" si="6"/>
        <v>2.6</v>
      </c>
      <c r="I5" s="9">
        <v>3.1</v>
      </c>
      <c r="J5" s="10">
        <v>40</v>
      </c>
      <c r="K5" s="11">
        <f t="shared" si="1"/>
        <v>45</v>
      </c>
      <c r="M5" s="5">
        <f t="shared" si="0"/>
        <v>3.1</v>
      </c>
      <c r="N5" s="2">
        <f t="shared" si="4"/>
        <v>3.1041666666666622E-3</v>
      </c>
    </row>
    <row r="6" spans="1:14" x14ac:dyDescent="0.35">
      <c r="A6">
        <v>400</v>
      </c>
      <c r="B6" s="2">
        <v>6.3888888888888893E-4</v>
      </c>
      <c r="C6" s="2"/>
      <c r="D6" s="5">
        <f t="shared" si="2"/>
        <v>0.4</v>
      </c>
      <c r="E6" s="4">
        <f t="shared" si="3"/>
        <v>55.2</v>
      </c>
      <c r="F6" s="3">
        <f t="shared" si="5"/>
        <v>30.000000000000007</v>
      </c>
      <c r="H6" s="9">
        <f t="shared" si="6"/>
        <v>3.1</v>
      </c>
      <c r="I6" s="9">
        <v>3.3</v>
      </c>
      <c r="J6" s="10">
        <v>35.29</v>
      </c>
      <c r="K6" s="11">
        <f t="shared" si="1"/>
        <v>20.402380277699038</v>
      </c>
      <c r="M6" s="5">
        <f t="shared" si="0"/>
        <v>3.3</v>
      </c>
      <c r="N6" s="2">
        <f t="shared" si="4"/>
        <v>3.3403053272881788E-3</v>
      </c>
    </row>
    <row r="7" spans="1:14" x14ac:dyDescent="0.35">
      <c r="A7">
        <v>500</v>
      </c>
      <c r="B7" s="2">
        <v>7.7777777777777784E-4</v>
      </c>
      <c r="C7" s="2"/>
      <c r="D7" s="5">
        <f t="shared" si="2"/>
        <v>0.5</v>
      </c>
      <c r="E7" s="4">
        <f t="shared" si="3"/>
        <v>67.2</v>
      </c>
      <c r="F7" s="3">
        <f t="shared" si="5"/>
        <v>29.999999999999993</v>
      </c>
      <c r="H7" s="9">
        <f t="shared" si="6"/>
        <v>3.3</v>
      </c>
      <c r="I7" s="9">
        <v>3.6</v>
      </c>
      <c r="J7" s="10">
        <v>34.951456310679603</v>
      </c>
      <c r="K7" s="11">
        <f t="shared" si="1"/>
        <v>30.900000000000038</v>
      </c>
      <c r="M7" s="5">
        <f t="shared" si="0"/>
        <v>3.6</v>
      </c>
      <c r="N7" s="2">
        <f t="shared" si="4"/>
        <v>3.6979442161770683E-3</v>
      </c>
    </row>
    <row r="8" spans="1:14" x14ac:dyDescent="0.35">
      <c r="A8">
        <v>600</v>
      </c>
      <c r="B8" s="2">
        <v>9.1666666666666665E-4</v>
      </c>
      <c r="C8" s="2"/>
      <c r="D8" s="5">
        <f t="shared" si="2"/>
        <v>0.6</v>
      </c>
      <c r="E8" s="4">
        <f t="shared" si="3"/>
        <v>79.199999999999989</v>
      </c>
      <c r="F8" s="3">
        <f t="shared" si="5"/>
        <v>30.000000000000032</v>
      </c>
      <c r="H8" s="9">
        <f t="shared" si="6"/>
        <v>3.6</v>
      </c>
      <c r="I8" s="9">
        <v>4</v>
      </c>
      <c r="J8" s="10">
        <v>29.999999999999883</v>
      </c>
      <c r="K8" s="11">
        <f t="shared" si="1"/>
        <v>48.000000000000178</v>
      </c>
      <c r="M8" s="5">
        <f t="shared" si="0"/>
        <v>4</v>
      </c>
      <c r="N8" s="2">
        <f t="shared" si="4"/>
        <v>4.2534997717326257E-3</v>
      </c>
    </row>
    <row r="9" spans="1:14" x14ac:dyDescent="0.35">
      <c r="A9">
        <v>700</v>
      </c>
      <c r="B9" s="2">
        <v>1E-3</v>
      </c>
      <c r="C9" s="2"/>
      <c r="D9" s="5">
        <f t="shared" si="2"/>
        <v>0.7</v>
      </c>
      <c r="E9" s="4">
        <f t="shared" si="3"/>
        <v>86.4</v>
      </c>
      <c r="F9" s="3">
        <f t="shared" si="5"/>
        <v>49.999999999999872</v>
      </c>
      <c r="H9" s="9">
        <f t="shared" si="6"/>
        <v>4</v>
      </c>
      <c r="I9" s="9">
        <v>4.3</v>
      </c>
      <c r="J9" s="10">
        <v>39.999999999999858</v>
      </c>
      <c r="K9" s="11">
        <f t="shared" si="1"/>
        <v>27.000000000000082</v>
      </c>
      <c r="M9" s="5">
        <f t="shared" si="0"/>
        <v>4.3</v>
      </c>
      <c r="N9" s="2">
        <f t="shared" si="4"/>
        <v>4.5659997717326269E-3</v>
      </c>
    </row>
    <row r="10" spans="1:14" x14ac:dyDescent="0.35">
      <c r="A10">
        <v>800</v>
      </c>
      <c r="B10" s="2">
        <v>1.0833333333333333E-3</v>
      </c>
      <c r="C10" s="2"/>
      <c r="D10" s="5">
        <f t="shared" si="2"/>
        <v>0.8</v>
      </c>
      <c r="E10" s="4">
        <f t="shared" si="3"/>
        <v>93.6</v>
      </c>
      <c r="F10" s="3">
        <f t="shared" si="5"/>
        <v>50.000000000000121</v>
      </c>
      <c r="H10" s="9">
        <f t="shared" si="6"/>
        <v>4.3</v>
      </c>
      <c r="I10" s="9">
        <v>4.4000000000000004</v>
      </c>
      <c r="J10" s="10">
        <v>44.444444444444557</v>
      </c>
      <c r="K10" s="11">
        <f t="shared" si="1"/>
        <v>8.1000000000000227</v>
      </c>
      <c r="M10" s="5">
        <f t="shared" si="0"/>
        <v>4.4000000000000004</v>
      </c>
      <c r="N10" s="2">
        <f t="shared" si="4"/>
        <v>4.6597497717326269E-3</v>
      </c>
    </row>
    <row r="11" spans="1:14" x14ac:dyDescent="0.35">
      <c r="A11">
        <v>900</v>
      </c>
      <c r="B11" s="2">
        <v>1.1666666666666665E-3</v>
      </c>
      <c r="C11" s="2"/>
      <c r="D11" s="5">
        <f t="shared" si="2"/>
        <v>0.9</v>
      </c>
      <c r="E11" s="4">
        <f t="shared" si="3"/>
        <v>100.79999999999998</v>
      </c>
      <c r="F11" s="3">
        <f t="shared" si="5"/>
        <v>50.000000000000064</v>
      </c>
      <c r="H11" s="9">
        <f t="shared" si="6"/>
        <v>4.4000000000000004</v>
      </c>
      <c r="I11" s="9">
        <v>7.4</v>
      </c>
      <c r="J11" s="10">
        <v>49.99999999999995</v>
      </c>
      <c r="K11" s="11">
        <f t="shared" si="1"/>
        <v>216.00000000000023</v>
      </c>
      <c r="M11" s="5">
        <f t="shared" si="0"/>
        <v>7.4</v>
      </c>
      <c r="N11" s="2">
        <f t="shared" si="4"/>
        <v>7.1597497717326292E-3</v>
      </c>
    </row>
    <row r="12" spans="1:14" x14ac:dyDescent="0.35">
      <c r="A12" s="1">
        <v>1000</v>
      </c>
      <c r="B12" s="2">
        <v>1.25E-3</v>
      </c>
      <c r="C12" s="2"/>
      <c r="D12" s="5">
        <f t="shared" si="2"/>
        <v>1</v>
      </c>
      <c r="E12" s="4">
        <f t="shared" si="3"/>
        <v>108</v>
      </c>
      <c r="F12" s="3">
        <f t="shared" si="5"/>
        <v>49.999999999999872</v>
      </c>
      <c r="H12" s="9">
        <f t="shared" si="6"/>
        <v>7.4</v>
      </c>
      <c r="I12" s="9">
        <v>7.4160000000000004</v>
      </c>
      <c r="J12" s="10">
        <v>48.000000000002771</v>
      </c>
      <c r="K12" s="11">
        <f>(I12-H12)/J12*3600</f>
        <v>1.1999999999999318</v>
      </c>
      <c r="M12" s="5">
        <f t="shared" si="0"/>
        <v>7.4160000000000004</v>
      </c>
      <c r="N12" s="2">
        <f t="shared" si="4"/>
        <v>7.1736386606215171E-3</v>
      </c>
    </row>
    <row r="13" spans="1:14" x14ac:dyDescent="0.35">
      <c r="A13" s="1">
        <v>1100</v>
      </c>
      <c r="B13" s="2">
        <v>1.3333333333333333E-3</v>
      </c>
      <c r="C13" s="2"/>
      <c r="D13" s="5">
        <f t="shared" si="2"/>
        <v>1.1000000000000001</v>
      </c>
      <c r="E13" s="4">
        <f t="shared" si="3"/>
        <v>115.2</v>
      </c>
      <c r="F13" s="3">
        <f t="shared" si="5"/>
        <v>50.000000000000021</v>
      </c>
      <c r="K13" s="2"/>
    </row>
    <row r="14" spans="1:14" x14ac:dyDescent="0.35">
      <c r="A14" s="1">
        <v>1200</v>
      </c>
      <c r="B14" s="2">
        <v>1.4166666666666668E-3</v>
      </c>
      <c r="C14" s="2"/>
      <c r="D14" s="5">
        <f t="shared" si="2"/>
        <v>1.2</v>
      </c>
      <c r="E14" s="4">
        <f t="shared" si="3"/>
        <v>122.4</v>
      </c>
      <c r="F14" s="3">
        <f t="shared" si="5"/>
        <v>49.999999999999908</v>
      </c>
    </row>
    <row r="15" spans="1:14" x14ac:dyDescent="0.35">
      <c r="A15" s="1">
        <v>1300</v>
      </c>
      <c r="B15" s="2">
        <v>1.5E-3</v>
      </c>
      <c r="C15" s="2"/>
      <c r="D15" s="5">
        <f t="shared" si="2"/>
        <v>1.3</v>
      </c>
      <c r="E15" s="4">
        <f t="shared" si="3"/>
        <v>129.60000000000002</v>
      </c>
      <c r="F15" s="3">
        <f t="shared" si="5"/>
        <v>49.999999999999922</v>
      </c>
    </row>
    <row r="16" spans="1:14" x14ac:dyDescent="0.35">
      <c r="A16" s="1">
        <v>1400</v>
      </c>
      <c r="B16" s="2">
        <v>1.5833333333333335E-3</v>
      </c>
      <c r="C16" s="2"/>
      <c r="D16" s="5">
        <f t="shared" si="2"/>
        <v>1.4</v>
      </c>
      <c r="E16" s="4">
        <f t="shared" si="3"/>
        <v>136.80000000000001</v>
      </c>
      <c r="F16" s="3">
        <f t="shared" si="5"/>
        <v>50.000000000000007</v>
      </c>
    </row>
    <row r="17" spans="1:6" x14ac:dyDescent="0.35">
      <c r="A17" s="1">
        <v>1500</v>
      </c>
      <c r="B17" s="2">
        <v>1.6666666666666668E-3</v>
      </c>
      <c r="C17" s="2"/>
      <c r="D17" s="5">
        <f t="shared" si="2"/>
        <v>1.5</v>
      </c>
      <c r="E17" s="4">
        <f t="shared" si="3"/>
        <v>144</v>
      </c>
      <c r="F17" s="3">
        <f t="shared" si="5"/>
        <v>50.000000000000121</v>
      </c>
    </row>
    <row r="18" spans="1:6" x14ac:dyDescent="0.35">
      <c r="A18" s="1">
        <v>1600</v>
      </c>
      <c r="B18" s="2">
        <v>1.7499999999999998E-3</v>
      </c>
      <c r="C18" s="2"/>
      <c r="D18" s="5">
        <f t="shared" si="2"/>
        <v>1.6</v>
      </c>
      <c r="E18" s="4">
        <f t="shared" si="3"/>
        <v>151.19999999999999</v>
      </c>
      <c r="F18" s="3">
        <f t="shared" si="5"/>
        <v>50.000000000000121</v>
      </c>
    </row>
    <row r="19" spans="1:6" x14ac:dyDescent="0.35">
      <c r="A19" s="1">
        <v>1700</v>
      </c>
      <c r="B19" s="2">
        <v>1.8333333333333333E-3</v>
      </c>
      <c r="C19" s="2"/>
      <c r="D19" s="5">
        <f t="shared" si="2"/>
        <v>1.7</v>
      </c>
      <c r="E19" s="4">
        <f t="shared" si="3"/>
        <v>158.39999999999998</v>
      </c>
      <c r="F19" s="3">
        <f t="shared" si="5"/>
        <v>50.000000000000007</v>
      </c>
    </row>
    <row r="20" spans="1:6" x14ac:dyDescent="0.35">
      <c r="A20" s="1">
        <v>1800</v>
      </c>
      <c r="B20" s="2">
        <v>1.9166666666666666E-3</v>
      </c>
      <c r="C20" s="2"/>
      <c r="D20" s="5">
        <f t="shared" si="2"/>
        <v>1.8</v>
      </c>
      <c r="E20" s="4">
        <f t="shared" si="3"/>
        <v>165.6</v>
      </c>
      <c r="F20" s="3">
        <f t="shared" si="5"/>
        <v>49.999999999999922</v>
      </c>
    </row>
    <row r="21" spans="1:6" x14ac:dyDescent="0.35">
      <c r="A21" s="1">
        <v>1900</v>
      </c>
      <c r="B21" s="2">
        <v>2E-3</v>
      </c>
      <c r="C21" s="2"/>
      <c r="D21" s="5">
        <f t="shared" si="2"/>
        <v>1.9</v>
      </c>
      <c r="E21" s="4">
        <f t="shared" si="3"/>
        <v>172.8</v>
      </c>
      <c r="F21" s="3">
        <f t="shared" si="5"/>
        <v>49.999999999999815</v>
      </c>
    </row>
    <row r="22" spans="1:6" x14ac:dyDescent="0.35">
      <c r="A22" s="1">
        <v>2000</v>
      </c>
      <c r="B22" s="2">
        <v>2.0833333333333333E-3</v>
      </c>
      <c r="C22" s="2"/>
      <c r="D22" s="5">
        <f t="shared" si="2"/>
        <v>2</v>
      </c>
      <c r="E22" s="4">
        <f t="shared" si="3"/>
        <v>180</v>
      </c>
      <c r="F22" s="3">
        <f t="shared" si="5"/>
        <v>50.000000000000121</v>
      </c>
    </row>
    <row r="23" spans="1:6" x14ac:dyDescent="0.35">
      <c r="A23" s="1">
        <v>2100</v>
      </c>
      <c r="B23" s="2">
        <v>2.1666666666666666E-3</v>
      </c>
      <c r="C23" s="2"/>
      <c r="D23" s="5">
        <f t="shared" si="2"/>
        <v>2.1</v>
      </c>
      <c r="E23" s="4">
        <f t="shared" si="3"/>
        <v>187.2</v>
      </c>
      <c r="F23" s="3">
        <f t="shared" si="5"/>
        <v>50.000000000000121</v>
      </c>
    </row>
    <row r="24" spans="1:6" x14ac:dyDescent="0.35">
      <c r="A24" s="1">
        <v>2200</v>
      </c>
      <c r="B24" s="2">
        <v>2.2500000000000003E-3</v>
      </c>
      <c r="C24" s="2"/>
      <c r="D24" s="5">
        <f t="shared" si="2"/>
        <v>2.2000000000000002</v>
      </c>
      <c r="E24" s="4">
        <f t="shared" si="3"/>
        <v>194.40000000000003</v>
      </c>
      <c r="F24" s="3">
        <f t="shared" si="5"/>
        <v>49.99999999999973</v>
      </c>
    </row>
    <row r="25" spans="1:6" x14ac:dyDescent="0.35">
      <c r="A25" s="1">
        <v>2300</v>
      </c>
      <c r="B25" s="2">
        <v>2.3333333333333331E-3</v>
      </c>
      <c r="C25" s="2"/>
      <c r="D25" s="5">
        <f t="shared" si="2"/>
        <v>2.2999999999999998</v>
      </c>
      <c r="E25" s="4">
        <f t="shared" si="3"/>
        <v>201.59999999999997</v>
      </c>
      <c r="F25" s="3">
        <f t="shared" si="5"/>
        <v>50.000000000000298</v>
      </c>
    </row>
    <row r="26" spans="1:6" x14ac:dyDescent="0.35">
      <c r="A26" s="1">
        <v>2400</v>
      </c>
      <c r="B26" s="2">
        <v>2.4166666666666668E-3</v>
      </c>
      <c r="C26" s="2"/>
      <c r="D26" s="5">
        <f t="shared" si="2"/>
        <v>2.4</v>
      </c>
      <c r="E26" s="4">
        <f t="shared" si="3"/>
        <v>208.8</v>
      </c>
      <c r="F26" s="3">
        <f t="shared" si="5"/>
        <v>49.99999999999973</v>
      </c>
    </row>
    <row r="27" spans="1:6" x14ac:dyDescent="0.35">
      <c r="A27" s="1">
        <v>2500</v>
      </c>
      <c r="B27" s="2">
        <v>2.5000000000000001E-3</v>
      </c>
      <c r="C27" s="2"/>
      <c r="D27" s="5">
        <f t="shared" si="2"/>
        <v>2.5</v>
      </c>
      <c r="E27" s="4">
        <f t="shared" si="3"/>
        <v>216</v>
      </c>
      <c r="F27" s="3">
        <f t="shared" si="5"/>
        <v>50.000000000000121</v>
      </c>
    </row>
    <row r="28" spans="1:6" x14ac:dyDescent="0.35">
      <c r="A28" s="1">
        <v>2600</v>
      </c>
      <c r="B28" s="2">
        <v>2.5833333333333333E-3</v>
      </c>
      <c r="C28" s="2"/>
      <c r="D28" s="5">
        <f t="shared" si="2"/>
        <v>2.6</v>
      </c>
      <c r="E28" s="4">
        <f t="shared" si="3"/>
        <v>223.2</v>
      </c>
      <c r="F28" s="3">
        <f t="shared" si="5"/>
        <v>50.000000000000121</v>
      </c>
    </row>
    <row r="29" spans="1:6" x14ac:dyDescent="0.35">
      <c r="A29" s="1">
        <v>2700</v>
      </c>
      <c r="B29" s="2">
        <v>2.6874999999999998E-3</v>
      </c>
      <c r="C29" s="2"/>
      <c r="D29" s="5">
        <f t="shared" si="2"/>
        <v>2.7</v>
      </c>
      <c r="E29" s="4">
        <f t="shared" si="3"/>
        <v>232.20000000000002</v>
      </c>
      <c r="F29" s="3">
        <f t="shared" si="5"/>
        <v>39.999999999999908</v>
      </c>
    </row>
    <row r="30" spans="1:6" x14ac:dyDescent="0.35">
      <c r="A30" s="1">
        <v>2800</v>
      </c>
      <c r="B30" s="2">
        <v>2.7916666666666667E-3</v>
      </c>
      <c r="C30" s="2"/>
      <c r="D30" s="5">
        <f t="shared" si="2"/>
        <v>2.8</v>
      </c>
      <c r="E30" s="4">
        <f t="shared" si="3"/>
        <v>241.20000000000002</v>
      </c>
      <c r="F30" s="3">
        <f t="shared" si="5"/>
        <v>39.999999999999858</v>
      </c>
    </row>
    <row r="31" spans="1:6" x14ac:dyDescent="0.35">
      <c r="A31" s="1">
        <v>2900</v>
      </c>
      <c r="B31" s="2">
        <v>2.8958333333333332E-3</v>
      </c>
      <c r="C31" s="2"/>
      <c r="D31" s="5">
        <f t="shared" si="2"/>
        <v>2.9</v>
      </c>
      <c r="E31" s="4">
        <f t="shared" si="3"/>
        <v>250.19999999999996</v>
      </c>
      <c r="F31" s="3">
        <f t="shared" si="5"/>
        <v>40.000000000000291</v>
      </c>
    </row>
    <row r="32" spans="1:6" x14ac:dyDescent="0.35">
      <c r="A32" s="1">
        <v>3000</v>
      </c>
      <c r="B32" s="2">
        <v>3.0000000000000001E-3</v>
      </c>
      <c r="C32" s="2"/>
      <c r="D32" s="5">
        <f t="shared" si="2"/>
        <v>3</v>
      </c>
      <c r="E32" s="4">
        <f t="shared" si="3"/>
        <v>259.20000000000005</v>
      </c>
      <c r="F32" s="3">
        <f t="shared" si="5"/>
        <v>39.999999999999659</v>
      </c>
    </row>
    <row r="33" spans="1:6" x14ac:dyDescent="0.35">
      <c r="A33" s="1">
        <v>3100</v>
      </c>
      <c r="B33" s="2">
        <v>3.1041666666666665E-3</v>
      </c>
      <c r="C33" s="2"/>
      <c r="D33" s="5">
        <f t="shared" si="2"/>
        <v>3.1</v>
      </c>
      <c r="E33" s="4">
        <f t="shared" si="3"/>
        <v>268.2</v>
      </c>
      <c r="F33" s="3">
        <f t="shared" si="5"/>
        <v>40.000000000000291</v>
      </c>
    </row>
    <row r="34" spans="1:6" x14ac:dyDescent="0.35">
      <c r="A34" s="1">
        <v>3200</v>
      </c>
      <c r="B34" s="2">
        <v>3.2222222222222218E-3</v>
      </c>
      <c r="C34" s="2"/>
      <c r="D34" s="5">
        <f t="shared" si="2"/>
        <v>3.2</v>
      </c>
      <c r="E34" s="4">
        <f t="shared" si="3"/>
        <v>278.39999999999998</v>
      </c>
      <c r="F34" s="3">
        <f t="shared" si="5"/>
        <v>35.294117647058897</v>
      </c>
    </row>
    <row r="35" spans="1:6" x14ac:dyDescent="0.35">
      <c r="A35" s="1">
        <v>3300</v>
      </c>
      <c r="B35" s="2">
        <v>3.3402777777777779E-3</v>
      </c>
      <c r="C35" s="2"/>
      <c r="D35" s="5">
        <f t="shared" si="2"/>
        <v>3.3</v>
      </c>
      <c r="E35" s="4">
        <f t="shared" si="3"/>
        <v>288.59999999999997</v>
      </c>
      <c r="F35" s="3">
        <f t="shared" si="5"/>
        <v>35.294117647058741</v>
      </c>
    </row>
    <row r="36" spans="1:6" x14ac:dyDescent="0.35">
      <c r="A36" s="1">
        <v>3400</v>
      </c>
      <c r="B36" s="2">
        <v>3.4594907407407404E-3</v>
      </c>
      <c r="C36" s="2"/>
      <c r="D36" s="5">
        <f t="shared" si="2"/>
        <v>3.4</v>
      </c>
      <c r="E36" s="4">
        <f t="shared" si="3"/>
        <v>298.89999999999998</v>
      </c>
      <c r="F36" s="3">
        <f t="shared" si="5"/>
        <v>34.951456310679603</v>
      </c>
    </row>
    <row r="37" spans="1:6" x14ac:dyDescent="0.35">
      <c r="A37" s="1">
        <v>3500</v>
      </c>
      <c r="B37" s="2">
        <v>3.5787037037037037E-3</v>
      </c>
      <c r="C37" s="2"/>
      <c r="D37" s="5">
        <f t="shared" si="2"/>
        <v>3.5</v>
      </c>
      <c r="E37" s="4">
        <f t="shared" si="3"/>
        <v>309.2</v>
      </c>
      <c r="F37" s="3">
        <f t="shared" si="5"/>
        <v>34.951456310679603</v>
      </c>
    </row>
    <row r="38" spans="1:6" x14ac:dyDescent="0.35">
      <c r="A38" s="1">
        <v>3600</v>
      </c>
      <c r="B38" s="2">
        <v>3.6979166666666666E-3</v>
      </c>
      <c r="C38" s="2"/>
      <c r="D38" s="5">
        <f t="shared" si="2"/>
        <v>3.6</v>
      </c>
      <c r="E38" s="4">
        <f t="shared" si="3"/>
        <v>319.5</v>
      </c>
      <c r="F38" s="3">
        <f t="shared" si="5"/>
        <v>34.951456310679603</v>
      </c>
    </row>
    <row r="39" spans="1:6" x14ac:dyDescent="0.35">
      <c r="A39" s="1">
        <v>3700</v>
      </c>
      <c r="B39" s="2">
        <v>3.8368055555555555E-3</v>
      </c>
      <c r="C39" s="2"/>
      <c r="D39" s="5">
        <f t="shared" si="2"/>
        <v>3.7</v>
      </c>
      <c r="E39" s="4">
        <f t="shared" si="3"/>
        <v>331.5</v>
      </c>
      <c r="F39" s="3">
        <f t="shared" si="5"/>
        <v>30.000000000000025</v>
      </c>
    </row>
    <row r="40" spans="1:6" x14ac:dyDescent="0.35">
      <c r="A40" s="1">
        <v>3800</v>
      </c>
      <c r="B40" s="2">
        <v>3.975694444444444E-3</v>
      </c>
      <c r="C40" s="2"/>
      <c r="D40" s="5">
        <f t="shared" si="2"/>
        <v>3.8</v>
      </c>
      <c r="E40" s="4">
        <f t="shared" si="3"/>
        <v>343.49999999999994</v>
      </c>
      <c r="F40" s="3">
        <f t="shared" si="5"/>
        <v>30.000000000000036</v>
      </c>
    </row>
    <row r="41" spans="1:6" x14ac:dyDescent="0.35">
      <c r="A41" s="1">
        <v>3900</v>
      </c>
      <c r="B41" s="2">
        <v>4.1145833333333329E-3</v>
      </c>
      <c r="C41" s="2"/>
      <c r="D41" s="5">
        <f t="shared" si="2"/>
        <v>3.9</v>
      </c>
      <c r="E41" s="4">
        <f t="shared" si="3"/>
        <v>355.49999999999994</v>
      </c>
      <c r="F41" s="3">
        <f t="shared" si="5"/>
        <v>30.000000000000025</v>
      </c>
    </row>
    <row r="42" spans="1:6" x14ac:dyDescent="0.35">
      <c r="A42" s="1">
        <v>4000</v>
      </c>
      <c r="B42" s="2">
        <v>4.2534722222222219E-3</v>
      </c>
      <c r="C42" s="2"/>
      <c r="D42" s="5">
        <f t="shared" si="2"/>
        <v>4</v>
      </c>
      <c r="E42" s="4">
        <f t="shared" si="3"/>
        <v>367.5</v>
      </c>
      <c r="F42" s="3">
        <f t="shared" si="5"/>
        <v>29.999999999999883</v>
      </c>
    </row>
    <row r="43" spans="1:6" x14ac:dyDescent="0.35">
      <c r="A43" s="1">
        <v>4100</v>
      </c>
      <c r="B43" s="2">
        <v>4.3576388888888892E-3</v>
      </c>
      <c r="C43" s="2"/>
      <c r="D43" s="5">
        <f t="shared" si="2"/>
        <v>4.0999999999999996</v>
      </c>
      <c r="E43" s="4">
        <f t="shared" si="3"/>
        <v>376.5</v>
      </c>
      <c r="F43" s="3">
        <f t="shared" si="5"/>
        <v>39.999999999999858</v>
      </c>
    </row>
    <row r="44" spans="1:6" x14ac:dyDescent="0.35">
      <c r="A44" s="1">
        <v>4200</v>
      </c>
      <c r="B44" s="2">
        <v>4.4618055555555557E-3</v>
      </c>
      <c r="C44" s="2"/>
      <c r="D44" s="5">
        <f t="shared" si="2"/>
        <v>4.2</v>
      </c>
      <c r="E44" s="4">
        <f t="shared" si="3"/>
        <v>385.5</v>
      </c>
      <c r="F44" s="3">
        <f t="shared" si="5"/>
        <v>40.000000000000213</v>
      </c>
    </row>
    <row r="45" spans="1:6" x14ac:dyDescent="0.35">
      <c r="A45" s="1">
        <v>4300</v>
      </c>
      <c r="B45" s="2">
        <v>4.5659722222222221E-3</v>
      </c>
      <c r="C45" s="2"/>
      <c r="D45" s="5">
        <f t="shared" si="2"/>
        <v>4.3</v>
      </c>
      <c r="E45" s="4">
        <f t="shared" si="3"/>
        <v>394.5</v>
      </c>
      <c r="F45" s="3">
        <f t="shared" si="5"/>
        <v>39.999999999999858</v>
      </c>
    </row>
    <row r="46" spans="1:6" x14ac:dyDescent="0.35">
      <c r="A46" s="1">
        <v>4400</v>
      </c>
      <c r="B46" s="2">
        <v>4.6597222222222222E-3</v>
      </c>
      <c r="C46" s="2"/>
      <c r="D46" s="5">
        <f t="shared" si="2"/>
        <v>4.4000000000000004</v>
      </c>
      <c r="E46" s="4">
        <f t="shared" si="3"/>
        <v>402.6</v>
      </c>
      <c r="F46" s="3">
        <f t="shared" si="5"/>
        <v>44.444444444444557</v>
      </c>
    </row>
    <row r="47" spans="1:6" x14ac:dyDescent="0.35">
      <c r="A47" s="1">
        <v>4500</v>
      </c>
      <c r="B47" s="2">
        <v>4.7430555555555559E-3</v>
      </c>
      <c r="C47" s="2"/>
      <c r="D47" s="5">
        <f t="shared" si="2"/>
        <v>4.5</v>
      </c>
      <c r="E47" s="4">
        <f t="shared" si="3"/>
        <v>409.8</v>
      </c>
      <c r="F47" s="3">
        <f t="shared" si="5"/>
        <v>49.999999999999901</v>
      </c>
    </row>
    <row r="48" spans="1:6" x14ac:dyDescent="0.35">
      <c r="A48" s="1">
        <v>4600</v>
      </c>
      <c r="B48" s="2">
        <v>4.8263888888888887E-3</v>
      </c>
      <c r="C48" s="2"/>
      <c r="D48" s="5">
        <f t="shared" si="2"/>
        <v>4.5999999999999996</v>
      </c>
      <c r="E48" s="4">
        <f t="shared" si="3"/>
        <v>417</v>
      </c>
      <c r="F48" s="3">
        <f t="shared" si="5"/>
        <v>49.999999999999901</v>
      </c>
    </row>
    <row r="49" spans="1:6" x14ac:dyDescent="0.35">
      <c r="A49" s="1">
        <v>4700</v>
      </c>
      <c r="B49" s="2">
        <v>4.9097222222222224E-3</v>
      </c>
      <c r="C49" s="2"/>
      <c r="D49" s="5">
        <f t="shared" si="2"/>
        <v>4.7</v>
      </c>
      <c r="E49" s="4">
        <f t="shared" si="3"/>
        <v>424.20000000000005</v>
      </c>
      <c r="F49" s="3">
        <f t="shared" si="5"/>
        <v>49.99999999999995</v>
      </c>
    </row>
    <row r="50" spans="1:6" x14ac:dyDescent="0.35">
      <c r="A50" s="1">
        <v>4800</v>
      </c>
      <c r="B50" s="2">
        <v>4.9930555555555553E-3</v>
      </c>
      <c r="C50" s="2"/>
      <c r="D50" s="5">
        <f t="shared" si="2"/>
        <v>4.8</v>
      </c>
      <c r="E50" s="4">
        <f t="shared" si="3"/>
        <v>431.4</v>
      </c>
      <c r="F50" s="3">
        <f t="shared" si="5"/>
        <v>50.000000000000298</v>
      </c>
    </row>
    <row r="51" spans="1:6" x14ac:dyDescent="0.35">
      <c r="A51" s="1">
        <v>4900</v>
      </c>
      <c r="B51" s="2">
        <v>5.076388888888889E-3</v>
      </c>
      <c r="C51" s="2"/>
      <c r="D51" s="5">
        <f t="shared" si="2"/>
        <v>4.9000000000000004</v>
      </c>
      <c r="E51" s="4">
        <f t="shared" si="3"/>
        <v>438.6</v>
      </c>
      <c r="F51" s="3">
        <f t="shared" si="5"/>
        <v>49.99999999999995</v>
      </c>
    </row>
    <row r="52" spans="1:6" x14ac:dyDescent="0.35">
      <c r="A52" s="1">
        <v>5000</v>
      </c>
      <c r="B52" s="2">
        <v>5.1597222222222227E-3</v>
      </c>
      <c r="C52" s="2"/>
      <c r="D52" s="5">
        <f t="shared" si="2"/>
        <v>5</v>
      </c>
      <c r="E52" s="4">
        <f t="shared" si="3"/>
        <v>445.80000000000007</v>
      </c>
      <c r="F52" s="3">
        <f t="shared" si="5"/>
        <v>49.99999999999951</v>
      </c>
    </row>
    <row r="53" spans="1:6" x14ac:dyDescent="0.35">
      <c r="A53" s="1">
        <v>5100</v>
      </c>
      <c r="B53" s="2">
        <v>5.2430555555555555E-3</v>
      </c>
      <c r="C53" s="2"/>
      <c r="D53" s="5">
        <f t="shared" si="2"/>
        <v>5.0999999999999996</v>
      </c>
      <c r="E53" s="4">
        <f t="shared" si="3"/>
        <v>452.99999999999994</v>
      </c>
      <c r="F53" s="3">
        <f t="shared" si="5"/>
        <v>50.000000000000689</v>
      </c>
    </row>
    <row r="54" spans="1:6" x14ac:dyDescent="0.35">
      <c r="A54" s="1">
        <v>5200</v>
      </c>
      <c r="B54" s="2">
        <v>5.3263888888888892E-3</v>
      </c>
      <c r="C54" s="2"/>
      <c r="D54" s="5">
        <f t="shared" si="2"/>
        <v>5.2</v>
      </c>
      <c r="E54" s="4">
        <f t="shared" si="3"/>
        <v>460.2000000000001</v>
      </c>
      <c r="F54" s="3">
        <f t="shared" si="5"/>
        <v>49.999999999999162</v>
      </c>
    </row>
    <row r="55" spans="1:6" x14ac:dyDescent="0.35">
      <c r="A55" s="1">
        <v>5300</v>
      </c>
      <c r="B55" s="2">
        <v>5.409722222222222E-3</v>
      </c>
      <c r="C55" s="2"/>
      <c r="D55" s="5">
        <f t="shared" si="2"/>
        <v>5.3</v>
      </c>
      <c r="E55" s="4">
        <f t="shared" si="3"/>
        <v>467.4</v>
      </c>
      <c r="F55" s="3">
        <f t="shared" si="5"/>
        <v>50.000000000000689</v>
      </c>
    </row>
    <row r="56" spans="1:6" x14ac:dyDescent="0.35">
      <c r="A56" s="1">
        <v>5400</v>
      </c>
      <c r="B56" s="2">
        <v>5.4930555555555557E-3</v>
      </c>
      <c r="C56" s="2"/>
      <c r="D56" s="5">
        <f t="shared" si="2"/>
        <v>5.4</v>
      </c>
      <c r="E56" s="4">
        <f t="shared" si="3"/>
        <v>474.59999999999997</v>
      </c>
      <c r="F56" s="3">
        <f t="shared" si="5"/>
        <v>50.000000000000341</v>
      </c>
    </row>
    <row r="57" spans="1:6" x14ac:dyDescent="0.35">
      <c r="A57" s="1">
        <v>5500</v>
      </c>
      <c r="B57" s="2">
        <v>5.5763888888888894E-3</v>
      </c>
      <c r="C57" s="2"/>
      <c r="D57" s="5">
        <f t="shared" si="2"/>
        <v>5.5</v>
      </c>
      <c r="E57" s="4">
        <f t="shared" si="3"/>
        <v>481.80000000000007</v>
      </c>
      <c r="F57" s="3">
        <f t="shared" si="5"/>
        <v>49.999999999999119</v>
      </c>
    </row>
    <row r="58" spans="1:6" x14ac:dyDescent="0.35">
      <c r="A58" s="1">
        <v>5600</v>
      </c>
      <c r="B58" s="2">
        <v>5.6597222222222222E-3</v>
      </c>
      <c r="C58" s="2"/>
      <c r="D58" s="5">
        <f t="shared" si="2"/>
        <v>5.6</v>
      </c>
      <c r="E58" s="4">
        <f t="shared" si="3"/>
        <v>489</v>
      </c>
      <c r="F58" s="3">
        <f t="shared" si="5"/>
        <v>50.000000000000298</v>
      </c>
    </row>
    <row r="59" spans="1:6" x14ac:dyDescent="0.35">
      <c r="A59" s="1">
        <v>5700</v>
      </c>
      <c r="B59" s="2">
        <v>5.7430555555555551E-3</v>
      </c>
      <c r="C59" s="2"/>
      <c r="D59" s="5">
        <f t="shared" si="2"/>
        <v>5.7</v>
      </c>
      <c r="E59" s="4">
        <f t="shared" si="3"/>
        <v>496.19999999999993</v>
      </c>
      <c r="F59" s="3">
        <f t="shared" si="5"/>
        <v>50.000000000000739</v>
      </c>
    </row>
    <row r="60" spans="1:6" x14ac:dyDescent="0.35">
      <c r="A60" s="1">
        <v>5800</v>
      </c>
      <c r="B60" s="2">
        <v>5.8263888888888888E-3</v>
      </c>
      <c r="C60" s="2"/>
      <c r="D60" s="5">
        <f t="shared" si="2"/>
        <v>5.8</v>
      </c>
      <c r="E60" s="4">
        <f t="shared" si="3"/>
        <v>503.40000000000003</v>
      </c>
      <c r="F60" s="3">
        <f t="shared" si="5"/>
        <v>49.999999999999119</v>
      </c>
    </row>
    <row r="61" spans="1:6" x14ac:dyDescent="0.35">
      <c r="A61" s="1">
        <v>5900</v>
      </c>
      <c r="B61" s="2">
        <v>5.9097222222222225E-3</v>
      </c>
      <c r="C61" s="2"/>
      <c r="D61" s="5">
        <f t="shared" si="2"/>
        <v>5.9</v>
      </c>
      <c r="E61" s="4">
        <f t="shared" si="3"/>
        <v>510.6</v>
      </c>
      <c r="F61" s="3">
        <f t="shared" si="5"/>
        <v>50.000000000000341</v>
      </c>
    </row>
    <row r="62" spans="1:6" x14ac:dyDescent="0.35">
      <c r="A62" s="1">
        <v>6000</v>
      </c>
      <c r="B62" s="2">
        <v>5.9930555555555553E-3</v>
      </c>
      <c r="C62" s="2"/>
      <c r="D62" s="5">
        <f t="shared" si="2"/>
        <v>6</v>
      </c>
      <c r="E62" s="4">
        <f t="shared" si="3"/>
        <v>517.79999999999995</v>
      </c>
      <c r="F62" s="3">
        <f t="shared" si="5"/>
        <v>50.000000000000298</v>
      </c>
    </row>
    <row r="63" spans="1:6" x14ac:dyDescent="0.35">
      <c r="A63" s="1">
        <v>6100</v>
      </c>
      <c r="B63" s="2">
        <v>6.076388888888889E-3</v>
      </c>
      <c r="C63" s="2"/>
      <c r="D63" s="5">
        <f t="shared" si="2"/>
        <v>6.1</v>
      </c>
      <c r="E63" s="4">
        <f t="shared" si="3"/>
        <v>525</v>
      </c>
      <c r="F63" s="3">
        <f t="shared" si="5"/>
        <v>49.99999999999951</v>
      </c>
    </row>
    <row r="64" spans="1:6" x14ac:dyDescent="0.35">
      <c r="A64" s="1">
        <v>6200</v>
      </c>
      <c r="B64" s="2">
        <v>6.1597222222222227E-3</v>
      </c>
      <c r="C64" s="2"/>
      <c r="D64" s="5">
        <f t="shared" si="2"/>
        <v>6.2</v>
      </c>
      <c r="E64" s="4">
        <f t="shared" si="3"/>
        <v>532.20000000000005</v>
      </c>
      <c r="F64" s="3">
        <f t="shared" si="5"/>
        <v>49.99999999999995</v>
      </c>
    </row>
    <row r="65" spans="1:6" x14ac:dyDescent="0.35">
      <c r="A65" s="1">
        <v>6300</v>
      </c>
      <c r="B65" s="2">
        <v>6.2430555555555555E-3</v>
      </c>
      <c r="C65" s="2"/>
      <c r="D65" s="5">
        <f t="shared" si="2"/>
        <v>6.3</v>
      </c>
      <c r="E65" s="4">
        <f t="shared" si="3"/>
        <v>539.4</v>
      </c>
      <c r="F65" s="3">
        <f t="shared" si="5"/>
        <v>50.000000000000298</v>
      </c>
    </row>
    <row r="66" spans="1:6" x14ac:dyDescent="0.35">
      <c r="A66" s="1">
        <v>6400</v>
      </c>
      <c r="B66" s="2">
        <v>6.3263888888888892E-3</v>
      </c>
      <c r="C66" s="2"/>
      <c r="D66" s="5">
        <f t="shared" si="2"/>
        <v>6.4</v>
      </c>
      <c r="E66" s="4">
        <f t="shared" si="3"/>
        <v>546.6</v>
      </c>
      <c r="F66" s="3">
        <f t="shared" si="5"/>
        <v>49.99999999999995</v>
      </c>
    </row>
    <row r="67" spans="1:6" x14ac:dyDescent="0.35">
      <c r="A67" s="1">
        <v>6500</v>
      </c>
      <c r="B67" s="2">
        <v>6.409722222222222E-3</v>
      </c>
      <c r="C67" s="2"/>
      <c r="D67" s="5">
        <f t="shared" ref="D67:D77" si="7">A67/1000</f>
        <v>6.5</v>
      </c>
      <c r="E67" s="4">
        <f t="shared" ref="E67:E77" si="8">B67*24*3600</f>
        <v>553.79999999999995</v>
      </c>
      <c r="F67" s="3">
        <f t="shared" si="5"/>
        <v>50.000000000000298</v>
      </c>
    </row>
    <row r="68" spans="1:6" x14ac:dyDescent="0.35">
      <c r="A68" s="1">
        <v>6600</v>
      </c>
      <c r="B68" s="2">
        <v>6.4930555555555557E-3</v>
      </c>
      <c r="C68" s="2"/>
      <c r="D68" s="5">
        <f t="shared" si="7"/>
        <v>6.6</v>
      </c>
      <c r="E68" s="4">
        <f t="shared" si="8"/>
        <v>561</v>
      </c>
      <c r="F68" s="3">
        <f t="shared" ref="F68:F77" si="9">(D68-D67)/((E68-E67)/3600)</f>
        <v>49.99999999999951</v>
      </c>
    </row>
    <row r="69" spans="1:6" x14ac:dyDescent="0.35">
      <c r="A69" s="1">
        <v>6700</v>
      </c>
      <c r="B69" s="2">
        <v>6.5763888888888894E-3</v>
      </c>
      <c r="C69" s="2"/>
      <c r="D69" s="5">
        <f t="shared" si="7"/>
        <v>6.7</v>
      </c>
      <c r="E69" s="4">
        <f t="shared" si="8"/>
        <v>568.20000000000005</v>
      </c>
      <c r="F69" s="3">
        <f t="shared" si="9"/>
        <v>49.99999999999995</v>
      </c>
    </row>
    <row r="70" spans="1:6" x14ac:dyDescent="0.35">
      <c r="A70" s="1">
        <v>6800</v>
      </c>
      <c r="B70" s="2">
        <v>6.6597222222222223E-3</v>
      </c>
      <c r="C70" s="2"/>
      <c r="D70" s="5">
        <f t="shared" si="7"/>
        <v>6.8</v>
      </c>
      <c r="E70" s="4">
        <f t="shared" si="8"/>
        <v>575.4</v>
      </c>
      <c r="F70" s="3">
        <f t="shared" si="9"/>
        <v>50.000000000000298</v>
      </c>
    </row>
    <row r="71" spans="1:6" x14ac:dyDescent="0.35">
      <c r="A71" s="1">
        <v>6900</v>
      </c>
      <c r="B71" s="2">
        <v>6.743055555555556E-3</v>
      </c>
      <c r="C71" s="2"/>
      <c r="D71" s="5">
        <f t="shared" si="7"/>
        <v>6.9</v>
      </c>
      <c r="E71" s="4">
        <f t="shared" si="8"/>
        <v>582.6</v>
      </c>
      <c r="F71" s="3">
        <f t="shared" si="9"/>
        <v>49.99999999999995</v>
      </c>
    </row>
    <row r="72" spans="1:6" x14ac:dyDescent="0.35">
      <c r="A72" s="1">
        <v>7000</v>
      </c>
      <c r="B72" s="2">
        <v>6.8263888888888888E-3</v>
      </c>
      <c r="C72" s="2"/>
      <c r="D72" s="5">
        <f t="shared" si="7"/>
        <v>7</v>
      </c>
      <c r="E72" s="4">
        <f t="shared" si="8"/>
        <v>589.79999999999995</v>
      </c>
      <c r="F72" s="3">
        <f t="shared" si="9"/>
        <v>50.000000000000298</v>
      </c>
    </row>
    <row r="73" spans="1:6" x14ac:dyDescent="0.35">
      <c r="A73" s="1">
        <v>7100</v>
      </c>
      <c r="B73" s="2">
        <v>6.9097222222222225E-3</v>
      </c>
      <c r="C73" s="2"/>
      <c r="D73" s="5">
        <f t="shared" si="7"/>
        <v>7.1</v>
      </c>
      <c r="E73" s="4">
        <f t="shared" si="8"/>
        <v>597</v>
      </c>
      <c r="F73" s="3">
        <f t="shared" si="9"/>
        <v>49.99999999999951</v>
      </c>
    </row>
    <row r="74" spans="1:6" x14ac:dyDescent="0.35">
      <c r="A74" s="1">
        <v>7200</v>
      </c>
      <c r="B74" s="2">
        <v>6.9930555555555562E-3</v>
      </c>
      <c r="C74" s="2"/>
      <c r="D74" s="5">
        <f t="shared" si="7"/>
        <v>7.2</v>
      </c>
      <c r="E74" s="4">
        <f t="shared" si="8"/>
        <v>604.20000000000005</v>
      </c>
      <c r="F74" s="3">
        <f t="shared" si="9"/>
        <v>49.99999999999995</v>
      </c>
    </row>
    <row r="75" spans="1:6" x14ac:dyDescent="0.35">
      <c r="A75" s="1">
        <v>7300</v>
      </c>
      <c r="B75" s="2">
        <v>7.076388888888889E-3</v>
      </c>
      <c r="C75" s="2"/>
      <c r="D75" s="5">
        <f t="shared" si="7"/>
        <v>7.3</v>
      </c>
      <c r="E75" s="4">
        <f t="shared" si="8"/>
        <v>611.4</v>
      </c>
      <c r="F75" s="3">
        <f t="shared" si="9"/>
        <v>50.000000000000298</v>
      </c>
    </row>
    <row r="76" spans="1:6" x14ac:dyDescent="0.35">
      <c r="A76" s="1">
        <v>7400</v>
      </c>
      <c r="B76" s="2">
        <v>7.1597222222222227E-3</v>
      </c>
      <c r="C76" s="2"/>
      <c r="D76" s="5">
        <f t="shared" si="7"/>
        <v>7.4</v>
      </c>
      <c r="E76" s="4">
        <f t="shared" si="8"/>
        <v>618.6</v>
      </c>
      <c r="F76" s="3">
        <f t="shared" si="9"/>
        <v>49.99999999999995</v>
      </c>
    </row>
    <row r="77" spans="1:6" x14ac:dyDescent="0.35">
      <c r="A77" s="1">
        <v>7416</v>
      </c>
      <c r="B77" s="2">
        <v>7.1736111111111106E-3</v>
      </c>
      <c r="C77" s="2"/>
      <c r="D77" s="5">
        <f t="shared" si="7"/>
        <v>7.4160000000000004</v>
      </c>
      <c r="E77" s="4">
        <f t="shared" si="8"/>
        <v>619.79999999999995</v>
      </c>
      <c r="F77" s="3">
        <f t="shared" si="9"/>
        <v>48.000000000002771</v>
      </c>
    </row>
  </sheetData>
  <conditionalFormatting sqref="F2:F77">
    <cfRule type="colorScale" priority="1">
      <colorScale>
        <cfvo type="num" val="20"/>
        <cfvo type="num" val="35"/>
        <cfvo type="num" val="50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E9A8F-4060-47DB-A40E-C15459BD75C2}">
  <dimension ref="A1:M7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1" sqref="E21:E27"/>
    </sheetView>
  </sheetViews>
  <sheetFormatPr defaultRowHeight="14.5" x14ac:dyDescent="0.35"/>
  <cols>
    <col min="3" max="3" width="8.90625" bestFit="1" customWidth="1"/>
    <col min="6" max="6" width="12.6328125" bestFit="1" customWidth="1"/>
    <col min="7" max="7" width="15.90625" bestFit="1" customWidth="1"/>
    <col min="8" max="8" width="15.90625" customWidth="1"/>
    <col min="10" max="10" width="9.36328125" bestFit="1" customWidth="1"/>
    <col min="12" max="12" width="12.6328125" bestFit="1" customWidth="1"/>
    <col min="13" max="13" width="15.90625" bestFit="1" customWidth="1"/>
  </cols>
  <sheetData>
    <row r="1" spans="1:13" s="6" customFormat="1" ht="31.5" customHeight="1" x14ac:dyDescent="0.35">
      <c r="A1" s="7" t="s">
        <v>8</v>
      </c>
      <c r="B1" s="7" t="s">
        <v>6</v>
      </c>
      <c r="C1" s="7" t="s">
        <v>4</v>
      </c>
      <c r="D1" s="7" t="s">
        <v>7</v>
      </c>
      <c r="F1" s="6" t="s">
        <v>0</v>
      </c>
      <c r="G1" s="6" t="s">
        <v>1</v>
      </c>
      <c r="H1" s="6" t="s">
        <v>5</v>
      </c>
      <c r="I1" s="6" t="s">
        <v>2</v>
      </c>
      <c r="J1" s="6" t="s">
        <v>4</v>
      </c>
      <c r="L1" s="6" t="s">
        <v>0</v>
      </c>
      <c r="M1" s="6" t="s">
        <v>1</v>
      </c>
    </row>
    <row r="2" spans="1:13" x14ac:dyDescent="0.35">
      <c r="A2" s="8">
        <v>0</v>
      </c>
      <c r="B2" s="9">
        <v>0.3</v>
      </c>
      <c r="C2" s="10">
        <v>24.999999999999989</v>
      </c>
      <c r="D2" s="11">
        <f t="shared" ref="D2:D11" si="0">(B2-A2)/C2*3600</f>
        <v>43.200000000000017</v>
      </c>
      <c r="F2">
        <v>0</v>
      </c>
      <c r="G2" s="2">
        <v>0</v>
      </c>
      <c r="H2" s="2">
        <v>0</v>
      </c>
      <c r="I2" s="5">
        <f>F2/1000</f>
        <v>0</v>
      </c>
      <c r="J2" s="3">
        <f>VLOOKUP(I2,$A$2:$C$12,3)</f>
        <v>24.999999999999989</v>
      </c>
      <c r="L2">
        <v>0</v>
      </c>
      <c r="M2" s="2">
        <v>0</v>
      </c>
    </row>
    <row r="3" spans="1:13" x14ac:dyDescent="0.35">
      <c r="A3" s="9">
        <f>B2</f>
        <v>0.3</v>
      </c>
      <c r="B3" s="9">
        <v>0.6</v>
      </c>
      <c r="C3" s="10">
        <v>30.000000000000032</v>
      </c>
      <c r="D3" s="11">
        <f t="shared" si="0"/>
        <v>35.999999999999964</v>
      </c>
      <c r="F3">
        <v>100</v>
      </c>
      <c r="G3" s="2">
        <f>(I3-I2)/J3/24+G2</f>
        <v>1.6666666666666674E-4</v>
      </c>
      <c r="H3" s="2">
        <f>(G3-G2)</f>
        <v>1.6666666666666674E-4</v>
      </c>
      <c r="I3" s="5">
        <f t="shared" ref="I3:I66" si="1">F3/1000</f>
        <v>0.1</v>
      </c>
      <c r="J3" s="3">
        <f>VLOOKUP(I3,$A$2:$C$12,3)</f>
        <v>24.999999999999989</v>
      </c>
      <c r="L3">
        <v>100</v>
      </c>
      <c r="M3" s="2">
        <v>1.6666666666666674E-4</v>
      </c>
    </row>
    <row r="4" spans="1:13" x14ac:dyDescent="0.35">
      <c r="A4" s="9">
        <f t="shared" ref="A4:A9" si="2">B3</f>
        <v>0.6</v>
      </c>
      <c r="B4" s="9">
        <v>2.6</v>
      </c>
      <c r="C4" s="10">
        <v>50.000000000000121</v>
      </c>
      <c r="D4" s="11">
        <f t="shared" si="0"/>
        <v>143.99999999999966</v>
      </c>
      <c r="F4">
        <v>200</v>
      </c>
      <c r="G4" s="2">
        <f>(I4-I3)/J4/24+G3</f>
        <v>3.3333333333333348E-4</v>
      </c>
      <c r="H4" s="2">
        <f t="shared" ref="H4:H67" si="3">(G4-G3)</f>
        <v>1.6666666666666674E-4</v>
      </c>
      <c r="I4" s="5">
        <f t="shared" si="1"/>
        <v>0.2</v>
      </c>
      <c r="J4" s="3">
        <f>VLOOKUP(I4,$A$2:$C$12,3)</f>
        <v>24.999999999999989</v>
      </c>
      <c r="L4">
        <v>200</v>
      </c>
      <c r="M4" s="2">
        <v>3.3333333333333348E-4</v>
      </c>
    </row>
    <row r="5" spans="1:13" x14ac:dyDescent="0.35">
      <c r="A5" s="9">
        <f t="shared" si="2"/>
        <v>2.6</v>
      </c>
      <c r="B5" s="9">
        <v>3.1</v>
      </c>
      <c r="C5" s="10">
        <v>40</v>
      </c>
      <c r="D5" s="11">
        <f t="shared" si="0"/>
        <v>45</v>
      </c>
      <c r="F5">
        <v>300</v>
      </c>
      <c r="G5" s="2">
        <f>(I5-I4)/J5/24+G4</f>
        <v>4.7222222222222218E-4</v>
      </c>
      <c r="H5" s="2">
        <f t="shared" si="3"/>
        <v>1.388888888888887E-4</v>
      </c>
      <c r="I5" s="5">
        <f t="shared" si="1"/>
        <v>0.3</v>
      </c>
      <c r="J5" s="3">
        <f>VLOOKUP(I5,$A$2:$C$12,3)</f>
        <v>30.000000000000032</v>
      </c>
      <c r="L5">
        <v>300</v>
      </c>
      <c r="M5" s="2">
        <v>4.7222222222222218E-4</v>
      </c>
    </row>
    <row r="6" spans="1:13" x14ac:dyDescent="0.35">
      <c r="A6" s="9">
        <f t="shared" si="2"/>
        <v>3.1</v>
      </c>
      <c r="B6" s="9">
        <v>3.6</v>
      </c>
      <c r="C6" s="10">
        <v>35</v>
      </c>
      <c r="D6" s="11">
        <f t="shared" si="0"/>
        <v>51.428571428571423</v>
      </c>
      <c r="F6">
        <v>400</v>
      </c>
      <c r="G6" s="2">
        <f>(I6-I5)/J6/24+G5</f>
        <v>6.1111111111111099E-4</v>
      </c>
      <c r="H6" s="2">
        <f t="shared" si="3"/>
        <v>1.3888888888888881E-4</v>
      </c>
      <c r="I6" s="5">
        <f t="shared" si="1"/>
        <v>0.4</v>
      </c>
      <c r="J6" s="3">
        <f>VLOOKUP(I6,$A$2:$C$12,3)</f>
        <v>30.000000000000032</v>
      </c>
      <c r="L6">
        <v>400</v>
      </c>
      <c r="M6" s="2">
        <v>6.1111111111111099E-4</v>
      </c>
    </row>
    <row r="7" spans="1:13" x14ac:dyDescent="0.35">
      <c r="A7" s="9">
        <f t="shared" si="2"/>
        <v>3.6</v>
      </c>
      <c r="B7" s="9">
        <v>7.4249999999999998</v>
      </c>
      <c r="C7" s="10">
        <v>50</v>
      </c>
      <c r="D7" s="11">
        <f t="shared" si="0"/>
        <v>275.39999999999998</v>
      </c>
      <c r="F7">
        <v>500</v>
      </c>
      <c r="G7" s="2">
        <f>(I7-I6)/J7/24+G6</f>
        <v>7.4999999999999969E-4</v>
      </c>
      <c r="H7" s="2">
        <f t="shared" si="3"/>
        <v>1.388888888888887E-4</v>
      </c>
      <c r="I7" s="5">
        <f t="shared" si="1"/>
        <v>0.5</v>
      </c>
      <c r="J7" s="3">
        <f>VLOOKUP(I7,$A$2:$C$12,3)</f>
        <v>30.000000000000032</v>
      </c>
      <c r="L7">
        <v>500</v>
      </c>
      <c r="M7" s="2">
        <v>7.4999999999999969E-4</v>
      </c>
    </row>
    <row r="8" spans="1:13" x14ac:dyDescent="0.35">
      <c r="A8" s="9">
        <v>7.4160000000000004</v>
      </c>
      <c r="B8" s="9">
        <v>100</v>
      </c>
      <c r="C8" s="10">
        <v>50</v>
      </c>
      <c r="D8" s="11">
        <f t="shared" si="0"/>
        <v>6666.0479999999998</v>
      </c>
      <c r="F8">
        <v>600</v>
      </c>
      <c r="G8" s="2">
        <f>(I8-I7)/J8/24+G7</f>
        <v>8.3333333333333284E-4</v>
      </c>
      <c r="H8" s="2">
        <f t="shared" si="3"/>
        <v>8.3333333333333154E-5</v>
      </c>
      <c r="I8" s="5">
        <f t="shared" si="1"/>
        <v>0.6</v>
      </c>
      <c r="J8" s="3">
        <f>VLOOKUP(I8,$A$2:$C$12,3)</f>
        <v>50.000000000000121</v>
      </c>
      <c r="L8">
        <v>600</v>
      </c>
      <c r="M8" s="2">
        <v>8.3333333333333284E-4</v>
      </c>
    </row>
    <row r="9" spans="1:13" x14ac:dyDescent="0.35">
      <c r="A9" s="9">
        <f t="shared" si="2"/>
        <v>100</v>
      </c>
      <c r="B9" s="9"/>
      <c r="C9" s="10">
        <v>50</v>
      </c>
      <c r="D9" s="11">
        <f t="shared" si="0"/>
        <v>-7200</v>
      </c>
      <c r="F9">
        <v>700</v>
      </c>
      <c r="G9" s="2">
        <f>(I9-I8)/J9/24+G8</f>
        <v>9.16666666666666E-4</v>
      </c>
      <c r="H9" s="2">
        <f t="shared" si="3"/>
        <v>8.3333333333333154E-5</v>
      </c>
      <c r="I9" s="5">
        <f t="shared" si="1"/>
        <v>0.7</v>
      </c>
      <c r="J9" s="3">
        <f>VLOOKUP(I9,$A$2:$C$12,3)</f>
        <v>50.000000000000121</v>
      </c>
      <c r="L9">
        <v>700</v>
      </c>
      <c r="M9" s="2">
        <v>9.16666666666666E-4</v>
      </c>
    </row>
    <row r="10" spans="1:13" x14ac:dyDescent="0.35">
      <c r="A10" s="9"/>
      <c r="B10" s="9"/>
      <c r="C10" s="10"/>
      <c r="D10" s="11" t="e">
        <f t="shared" si="0"/>
        <v>#DIV/0!</v>
      </c>
      <c r="F10">
        <v>800</v>
      </c>
      <c r="G10" s="2">
        <f>(I10-I9)/J10/24+G9</f>
        <v>9.9999999999999915E-4</v>
      </c>
      <c r="H10" s="2">
        <f t="shared" si="3"/>
        <v>8.3333333333333154E-5</v>
      </c>
      <c r="I10" s="5">
        <f t="shared" si="1"/>
        <v>0.8</v>
      </c>
      <c r="J10" s="3">
        <f>VLOOKUP(I10,$A$2:$C$12,3)</f>
        <v>50.000000000000121</v>
      </c>
      <c r="L10">
        <v>800</v>
      </c>
      <c r="M10" s="2">
        <v>9.9999999999999915E-4</v>
      </c>
    </row>
    <row r="11" spans="1:13" x14ac:dyDescent="0.35">
      <c r="A11" s="9"/>
      <c r="B11" s="9"/>
      <c r="C11" s="10"/>
      <c r="D11" s="11" t="e">
        <f t="shared" si="0"/>
        <v>#DIV/0!</v>
      </c>
      <c r="F11">
        <v>900</v>
      </c>
      <c r="G11" s="2">
        <f>(I11-I10)/J11/24+G10</f>
        <v>1.0833333333333322E-3</v>
      </c>
      <c r="H11" s="2">
        <f t="shared" si="3"/>
        <v>8.3333333333333046E-5</v>
      </c>
      <c r="I11" s="5">
        <f t="shared" si="1"/>
        <v>0.9</v>
      </c>
      <c r="J11" s="3">
        <f>VLOOKUP(I11,$A$2:$C$12,3)</f>
        <v>50.000000000000121</v>
      </c>
      <c r="L11">
        <v>900</v>
      </c>
      <c r="M11" s="2">
        <v>1.0833333333333322E-3</v>
      </c>
    </row>
    <row r="12" spans="1:13" x14ac:dyDescent="0.35">
      <c r="A12" s="9"/>
      <c r="B12" s="9"/>
      <c r="C12" s="10"/>
      <c r="D12" s="11" t="e">
        <f>(B12-A12)/C12*3600</f>
        <v>#DIV/0!</v>
      </c>
      <c r="F12" s="1">
        <v>1000</v>
      </c>
      <c r="G12" s="2">
        <f>(I12-I11)/J12/24+G11</f>
        <v>1.1666666666666652E-3</v>
      </c>
      <c r="H12" s="2">
        <f t="shared" si="3"/>
        <v>8.3333333333333046E-5</v>
      </c>
      <c r="I12" s="5">
        <f t="shared" si="1"/>
        <v>1</v>
      </c>
      <c r="J12" s="3">
        <f>VLOOKUP(I12,$A$2:$C$12,3)</f>
        <v>50.000000000000121</v>
      </c>
      <c r="L12" s="1">
        <v>1000</v>
      </c>
      <c r="M12" s="2">
        <v>1.1666666666666652E-3</v>
      </c>
    </row>
    <row r="13" spans="1:13" x14ac:dyDescent="0.35">
      <c r="D13" s="2"/>
      <c r="F13" s="1">
        <v>1100</v>
      </c>
      <c r="G13" s="2">
        <f>(I13-I12)/J13/24+G12</f>
        <v>1.2499999999999985E-3</v>
      </c>
      <c r="H13" s="2">
        <f t="shared" si="3"/>
        <v>8.3333333333333263E-5</v>
      </c>
      <c r="I13" s="5">
        <f t="shared" si="1"/>
        <v>1.1000000000000001</v>
      </c>
      <c r="J13" s="3">
        <f>VLOOKUP(I13,$A$2:$C$12,3)</f>
        <v>50.000000000000121</v>
      </c>
      <c r="L13" s="1">
        <v>1100</v>
      </c>
      <c r="M13" s="2">
        <v>1.2499999999999985E-3</v>
      </c>
    </row>
    <row r="14" spans="1:13" x14ac:dyDescent="0.35">
      <c r="F14" s="1">
        <v>1200</v>
      </c>
      <c r="G14" s="2">
        <f>(I14-I13)/J14/24+G13</f>
        <v>1.3333333333333316E-3</v>
      </c>
      <c r="H14" s="2">
        <f t="shared" si="3"/>
        <v>8.3333333333333046E-5</v>
      </c>
      <c r="I14" s="5">
        <f t="shared" si="1"/>
        <v>1.2</v>
      </c>
      <c r="J14" s="3">
        <f>VLOOKUP(I14,$A$2:$C$12,3)</f>
        <v>50.000000000000121</v>
      </c>
      <c r="L14" s="1">
        <v>1200</v>
      </c>
      <c r="M14" s="2">
        <v>1.3333333333333316E-3</v>
      </c>
    </row>
    <row r="15" spans="1:13" x14ac:dyDescent="0.35">
      <c r="F15" s="1">
        <v>1300</v>
      </c>
      <c r="G15" s="2">
        <f>(I15-I14)/J15/24+G14</f>
        <v>1.4166666666666648E-3</v>
      </c>
      <c r="H15" s="2">
        <f t="shared" si="3"/>
        <v>8.3333333333333263E-5</v>
      </c>
      <c r="I15" s="5">
        <f t="shared" si="1"/>
        <v>1.3</v>
      </c>
      <c r="J15" s="3">
        <f>VLOOKUP(I15,$A$2:$C$12,3)</f>
        <v>50.000000000000121</v>
      </c>
      <c r="L15" s="1">
        <v>1300</v>
      </c>
      <c r="M15" s="2">
        <v>1.4166666666666648E-3</v>
      </c>
    </row>
    <row r="16" spans="1:13" x14ac:dyDescent="0.35">
      <c r="F16" s="1">
        <v>1400</v>
      </c>
      <c r="G16" s="2">
        <f>(I16-I15)/J16/24+G15</f>
        <v>1.4999999999999979E-3</v>
      </c>
      <c r="H16" s="2">
        <f t="shared" si="3"/>
        <v>8.3333333333333046E-5</v>
      </c>
      <c r="I16" s="5">
        <f t="shared" si="1"/>
        <v>1.4</v>
      </c>
      <c r="J16" s="3">
        <f>VLOOKUP(I16,$A$2:$C$12,3)</f>
        <v>50.000000000000121</v>
      </c>
      <c r="L16" s="1">
        <v>1400</v>
      </c>
      <c r="M16" s="2">
        <v>1.4999999999999979E-3</v>
      </c>
    </row>
    <row r="17" spans="3:13" x14ac:dyDescent="0.35">
      <c r="F17" s="1">
        <v>1500</v>
      </c>
      <c r="G17" s="2">
        <f>(I17-I16)/J17/24+G16</f>
        <v>1.5833333333333311E-3</v>
      </c>
      <c r="H17" s="2">
        <f t="shared" si="3"/>
        <v>8.3333333333333263E-5</v>
      </c>
      <c r="I17" s="5">
        <f t="shared" si="1"/>
        <v>1.5</v>
      </c>
      <c r="J17" s="3">
        <f>VLOOKUP(I17,$A$2:$C$12,3)</f>
        <v>50.000000000000121</v>
      </c>
      <c r="L17" s="1">
        <v>1500</v>
      </c>
      <c r="M17" s="2">
        <v>1.5833333333333311E-3</v>
      </c>
    </row>
    <row r="18" spans="3:13" x14ac:dyDescent="0.35">
      <c r="F18" s="1">
        <v>1600</v>
      </c>
      <c r="G18" s="2">
        <f>(I18-I17)/J18/24+G17</f>
        <v>1.6666666666666644E-3</v>
      </c>
      <c r="H18" s="2">
        <f t="shared" si="3"/>
        <v>8.3333333333333263E-5</v>
      </c>
      <c r="I18" s="5">
        <f t="shared" si="1"/>
        <v>1.6</v>
      </c>
      <c r="J18" s="3">
        <f>VLOOKUP(I18,$A$2:$C$12,3)</f>
        <v>50.000000000000121</v>
      </c>
      <c r="L18" s="1">
        <v>1600</v>
      </c>
      <c r="M18" s="2">
        <v>1.6666666666666644E-3</v>
      </c>
    </row>
    <row r="19" spans="3:13" x14ac:dyDescent="0.35">
      <c r="F19" s="1">
        <v>1700</v>
      </c>
      <c r="G19" s="2">
        <f>(I19-I18)/J19/24+G18</f>
        <v>1.7499999999999974E-3</v>
      </c>
      <c r="H19" s="2">
        <f t="shared" si="3"/>
        <v>8.3333333333333046E-5</v>
      </c>
      <c r="I19" s="5">
        <f t="shared" si="1"/>
        <v>1.7</v>
      </c>
      <c r="J19" s="3">
        <f>VLOOKUP(I19,$A$2:$C$12,3)</f>
        <v>50.000000000000121</v>
      </c>
      <c r="L19" s="1">
        <v>1700</v>
      </c>
      <c r="M19" s="2">
        <v>1.7499999999999974E-3</v>
      </c>
    </row>
    <row r="20" spans="3:13" x14ac:dyDescent="0.35">
      <c r="F20" s="1">
        <v>1800</v>
      </c>
      <c r="G20" s="2">
        <f>(I20-I19)/J20/24+G19</f>
        <v>1.8333333333333307E-3</v>
      </c>
      <c r="H20" s="2">
        <f t="shared" si="3"/>
        <v>8.3333333333333263E-5</v>
      </c>
      <c r="I20" s="5">
        <f t="shared" si="1"/>
        <v>1.8</v>
      </c>
      <c r="J20" s="3">
        <f>VLOOKUP(I20,$A$2:$C$12,3)</f>
        <v>50.000000000000121</v>
      </c>
      <c r="L20" s="1">
        <v>1800</v>
      </c>
      <c r="M20" s="2">
        <v>1.8333333333333307E-3</v>
      </c>
    </row>
    <row r="21" spans="3:13" x14ac:dyDescent="0.35">
      <c r="F21" s="1">
        <v>1900</v>
      </c>
      <c r="G21" s="2">
        <f>(I21-I20)/J21/24+G20</f>
        <v>1.9166666666666637E-3</v>
      </c>
      <c r="H21" s="2">
        <f t="shared" si="3"/>
        <v>8.3333333333333046E-5</v>
      </c>
      <c r="I21" s="5">
        <f t="shared" si="1"/>
        <v>1.9</v>
      </c>
      <c r="J21" s="3">
        <f>VLOOKUP(I21,$A$2:$C$12,3)</f>
        <v>50.000000000000121</v>
      </c>
      <c r="L21" s="1">
        <v>1900</v>
      </c>
      <c r="M21" s="2">
        <v>1.9166666666666637E-3</v>
      </c>
    </row>
    <row r="22" spans="3:13" x14ac:dyDescent="0.35">
      <c r="C22">
        <v>7.1</v>
      </c>
      <c r="D22" s="3">
        <f>0.1/(C22/3600)</f>
        <v>50.704225352112687</v>
      </c>
      <c r="E22" s="3">
        <f>D22-AVERAGE(D22:D23)</f>
        <v>0.69457842948099824</v>
      </c>
      <c r="F22" s="1">
        <v>2000</v>
      </c>
      <c r="G22" s="2">
        <f>(I22-I21)/J22/24+G21</f>
        <v>1.999999999999997E-3</v>
      </c>
      <c r="H22" s="2">
        <f t="shared" si="3"/>
        <v>8.3333333333333263E-5</v>
      </c>
      <c r="I22" s="5">
        <f t="shared" si="1"/>
        <v>2</v>
      </c>
      <c r="J22" s="3">
        <f>VLOOKUP(I22,$A$2:$C$12,3)</f>
        <v>50.000000000000121</v>
      </c>
      <c r="L22" s="1">
        <v>2000</v>
      </c>
      <c r="M22" s="2">
        <v>1.999999999999997E-3</v>
      </c>
    </row>
    <row r="23" spans="3:13" x14ac:dyDescent="0.35">
      <c r="C23">
        <v>7.3</v>
      </c>
      <c r="D23" s="3">
        <f>0.1/(C23/3600)</f>
        <v>49.31506849315069</v>
      </c>
      <c r="E23" s="3">
        <f>D23-AVERAGE(D22:D23)</f>
        <v>-0.69457842948099824</v>
      </c>
      <c r="F23" s="1">
        <v>2100</v>
      </c>
      <c r="G23" s="2">
        <f>(I23-I22)/J23/24+G22</f>
        <v>2.0833333333333303E-3</v>
      </c>
      <c r="H23" s="2">
        <f t="shared" si="3"/>
        <v>8.3333333333333263E-5</v>
      </c>
      <c r="I23" s="5">
        <f t="shared" si="1"/>
        <v>2.1</v>
      </c>
      <c r="J23" s="3">
        <f>VLOOKUP(I23,$A$2:$C$12,3)</f>
        <v>50.000000000000121</v>
      </c>
      <c r="L23" s="1">
        <v>2100</v>
      </c>
      <c r="M23" s="2">
        <v>2.0833333333333303E-3</v>
      </c>
    </row>
    <row r="24" spans="3:13" x14ac:dyDescent="0.35">
      <c r="D24" s="3">
        <f>AVERAGE(D22:D23)</f>
        <v>50.009646922631688</v>
      </c>
      <c r="E24" s="3"/>
      <c r="F24" s="1">
        <v>2200</v>
      </c>
      <c r="G24" s="2">
        <f>(I24-I23)/J24/24+G23</f>
        <v>2.1666666666666635E-3</v>
      </c>
      <c r="H24" s="2">
        <f t="shared" si="3"/>
        <v>8.3333333333333263E-5</v>
      </c>
      <c r="I24" s="5">
        <f t="shared" si="1"/>
        <v>2.2000000000000002</v>
      </c>
      <c r="J24" s="3">
        <f>VLOOKUP(I24,$A$2:$C$12,3)</f>
        <v>50.000000000000121</v>
      </c>
      <c r="L24" s="1">
        <v>2200</v>
      </c>
      <c r="M24" s="2">
        <v>2.1666666666666635E-3</v>
      </c>
    </row>
    <row r="25" spans="3:13" x14ac:dyDescent="0.35">
      <c r="F25" s="1">
        <v>2300</v>
      </c>
      <c r="G25" s="2">
        <f>(I25-I24)/J25/24+G24</f>
        <v>2.2499999999999964E-3</v>
      </c>
      <c r="H25" s="2">
        <f t="shared" si="3"/>
        <v>8.3333333333332829E-5</v>
      </c>
      <c r="I25" s="5">
        <f t="shared" si="1"/>
        <v>2.2999999999999998</v>
      </c>
      <c r="J25" s="3">
        <f>VLOOKUP(I25,$A$2:$C$12,3)</f>
        <v>50.000000000000121</v>
      </c>
      <c r="L25" s="1">
        <v>2300</v>
      </c>
      <c r="M25" s="2">
        <v>2.2499999999999964E-3</v>
      </c>
    </row>
    <row r="26" spans="3:13" x14ac:dyDescent="0.35">
      <c r="C26">
        <v>14.3</v>
      </c>
      <c r="D26" s="3">
        <f>0.1/(C26/3600)</f>
        <v>25.174825174825173</v>
      </c>
      <c r="E26" s="3">
        <f>D26-AVERAGE(D26:D27)</f>
        <v>0.17361948396430904</v>
      </c>
      <c r="F26" s="1">
        <v>2400</v>
      </c>
      <c r="G26" s="2">
        <f>(I26-I25)/J26/24+G25</f>
        <v>2.3333333333333296E-3</v>
      </c>
      <c r="H26" s="2">
        <f t="shared" si="3"/>
        <v>8.3333333333333263E-5</v>
      </c>
      <c r="I26" s="5">
        <f t="shared" si="1"/>
        <v>2.4</v>
      </c>
      <c r="J26" s="3">
        <f>VLOOKUP(I26,$A$2:$C$12,3)</f>
        <v>50.000000000000121</v>
      </c>
      <c r="L26" s="1">
        <v>2400</v>
      </c>
      <c r="M26" s="2">
        <v>2.3333333333333296E-3</v>
      </c>
    </row>
    <row r="27" spans="3:13" x14ac:dyDescent="0.35">
      <c r="C27">
        <v>14.5</v>
      </c>
      <c r="D27" s="3">
        <f>0.1/(C27/3600)</f>
        <v>24.827586206896555</v>
      </c>
      <c r="E27" s="3">
        <f>D27-AVERAGE(D26:D27)</f>
        <v>-0.17361948396430904</v>
      </c>
      <c r="F27" s="1">
        <v>2500</v>
      </c>
      <c r="G27" s="2">
        <f>(I27-I26)/J27/24+G26</f>
        <v>2.4166666666666629E-3</v>
      </c>
      <c r="H27" s="2">
        <f t="shared" si="3"/>
        <v>8.3333333333333263E-5</v>
      </c>
      <c r="I27" s="5">
        <f t="shared" si="1"/>
        <v>2.5</v>
      </c>
      <c r="J27" s="3">
        <f>VLOOKUP(I27,$A$2:$C$12,3)</f>
        <v>50.000000000000121</v>
      </c>
      <c r="L27" s="1">
        <v>2500</v>
      </c>
      <c r="M27" s="2">
        <v>2.4166666666666629E-3</v>
      </c>
    </row>
    <row r="28" spans="3:13" x14ac:dyDescent="0.35">
      <c r="D28" s="3">
        <f>AVERAGE(D26:D27)</f>
        <v>25.001205690860864</v>
      </c>
      <c r="F28" s="1">
        <v>2600</v>
      </c>
      <c r="G28" s="2">
        <f>(I28-I27)/J28/24+G27</f>
        <v>2.5208333333333298E-3</v>
      </c>
      <c r="H28" s="2">
        <f t="shared" si="3"/>
        <v>1.041666666666669E-4</v>
      </c>
      <c r="I28" s="5">
        <f t="shared" si="1"/>
        <v>2.6</v>
      </c>
      <c r="J28" s="3">
        <f>VLOOKUP(I28,$A$2:$C$12,3)</f>
        <v>40</v>
      </c>
      <c r="L28" s="1">
        <v>2600</v>
      </c>
      <c r="M28" s="2">
        <v>2.5208333333333298E-3</v>
      </c>
    </row>
    <row r="29" spans="3:13" x14ac:dyDescent="0.35">
      <c r="F29" s="1">
        <v>2700</v>
      </c>
      <c r="G29" s="2">
        <f>(I29-I28)/J29/24+G28</f>
        <v>2.6249999999999967E-3</v>
      </c>
      <c r="H29" s="2">
        <f t="shared" si="3"/>
        <v>1.041666666666669E-4</v>
      </c>
      <c r="I29" s="5">
        <f t="shared" si="1"/>
        <v>2.7</v>
      </c>
      <c r="J29" s="3">
        <f>VLOOKUP(I29,$A$2:$C$12,3)</f>
        <v>40</v>
      </c>
      <c r="L29" s="1">
        <v>2700</v>
      </c>
      <c r="M29" s="2">
        <v>2.6249999999999967E-3</v>
      </c>
    </row>
    <row r="30" spans="3:13" x14ac:dyDescent="0.35">
      <c r="F30" s="1">
        <v>2800</v>
      </c>
      <c r="G30" s="2">
        <f>(I30-I29)/J30/24+G29</f>
        <v>2.7291666666666632E-3</v>
      </c>
      <c r="H30" s="2">
        <f t="shared" si="3"/>
        <v>1.0416666666666647E-4</v>
      </c>
      <c r="I30" s="5">
        <f t="shared" si="1"/>
        <v>2.8</v>
      </c>
      <c r="J30" s="3">
        <f>VLOOKUP(I30,$A$2:$C$12,3)</f>
        <v>40</v>
      </c>
      <c r="L30" s="1">
        <v>2800</v>
      </c>
      <c r="M30" s="2">
        <v>2.7291666666666632E-3</v>
      </c>
    </row>
    <row r="31" spans="3:13" x14ac:dyDescent="0.35">
      <c r="F31" s="1">
        <v>2900</v>
      </c>
      <c r="G31" s="2">
        <f>(I31-I30)/J31/24+G30</f>
        <v>2.8333333333333301E-3</v>
      </c>
      <c r="H31" s="2">
        <f t="shared" si="3"/>
        <v>1.041666666666669E-4</v>
      </c>
      <c r="I31" s="5">
        <f t="shared" si="1"/>
        <v>2.9</v>
      </c>
      <c r="J31" s="3">
        <f>VLOOKUP(I31,$A$2:$C$12,3)</f>
        <v>40</v>
      </c>
      <c r="L31" s="1">
        <v>2900</v>
      </c>
      <c r="M31" s="2">
        <v>2.8333333333333301E-3</v>
      </c>
    </row>
    <row r="32" spans="3:13" x14ac:dyDescent="0.35">
      <c r="F32" s="1">
        <v>3000</v>
      </c>
      <c r="G32" s="2">
        <f>(I32-I31)/J32/24+G31</f>
        <v>2.937499999999997E-3</v>
      </c>
      <c r="H32" s="2">
        <f t="shared" si="3"/>
        <v>1.041666666666669E-4</v>
      </c>
      <c r="I32" s="5">
        <f t="shared" si="1"/>
        <v>3</v>
      </c>
      <c r="J32" s="3">
        <f>VLOOKUP(I32,$A$2:$C$12,3)</f>
        <v>40</v>
      </c>
      <c r="L32" s="1">
        <v>3000</v>
      </c>
      <c r="M32" s="2">
        <v>2.937499999999997E-3</v>
      </c>
    </row>
    <row r="33" spans="6:13" x14ac:dyDescent="0.35">
      <c r="F33" s="1">
        <v>3100</v>
      </c>
      <c r="G33" s="2">
        <f>(I33-I32)/J33/24+G32</f>
        <v>3.0565476190476163E-3</v>
      </c>
      <c r="H33" s="2">
        <f t="shared" si="3"/>
        <v>1.1904761904761932E-4</v>
      </c>
      <c r="I33" s="5">
        <f t="shared" si="1"/>
        <v>3.1</v>
      </c>
      <c r="J33" s="3">
        <f>VLOOKUP(I33,$A$2:$C$12,3)</f>
        <v>35</v>
      </c>
      <c r="L33" s="1">
        <v>3100</v>
      </c>
      <c r="M33" s="2">
        <v>3.0565476190476163E-3</v>
      </c>
    </row>
    <row r="34" spans="6:13" x14ac:dyDescent="0.35">
      <c r="F34" s="1">
        <v>3200</v>
      </c>
      <c r="G34" s="2">
        <f>(I34-I33)/J34/24+G33</f>
        <v>3.1755952380952356E-3</v>
      </c>
      <c r="H34" s="2">
        <f t="shared" si="3"/>
        <v>1.1904761904761932E-4</v>
      </c>
      <c r="I34" s="5">
        <f t="shared" si="1"/>
        <v>3.2</v>
      </c>
      <c r="J34" s="3">
        <f>VLOOKUP(I34,$A$2:$C$12,3)</f>
        <v>35</v>
      </c>
      <c r="L34" s="1">
        <v>3200</v>
      </c>
      <c r="M34" s="2">
        <v>3.1755952380952356E-3</v>
      </c>
    </row>
    <row r="35" spans="6:13" x14ac:dyDescent="0.35">
      <c r="F35" s="1">
        <v>3300</v>
      </c>
      <c r="G35" s="2">
        <f>(I35-I34)/J35/24+G34</f>
        <v>3.2946428571428541E-3</v>
      </c>
      <c r="H35" s="2">
        <f t="shared" si="3"/>
        <v>1.1904761904761845E-4</v>
      </c>
      <c r="I35" s="5">
        <f t="shared" si="1"/>
        <v>3.3</v>
      </c>
      <c r="J35" s="3">
        <f>VLOOKUP(I35,$A$2:$C$12,3)</f>
        <v>35</v>
      </c>
      <c r="L35" s="1">
        <v>3300</v>
      </c>
      <c r="M35" s="2">
        <v>3.2946428571428541E-3</v>
      </c>
    </row>
    <row r="36" spans="6:13" x14ac:dyDescent="0.35">
      <c r="F36" s="1">
        <v>3400</v>
      </c>
      <c r="G36" s="2">
        <f>(I36-I35)/J36/24+G35</f>
        <v>3.4136904761904734E-3</v>
      </c>
      <c r="H36" s="2">
        <f t="shared" si="3"/>
        <v>1.1904761904761932E-4</v>
      </c>
      <c r="I36" s="5">
        <f t="shared" si="1"/>
        <v>3.4</v>
      </c>
      <c r="J36" s="3">
        <f>VLOOKUP(I36,$A$2:$C$12,3)</f>
        <v>35</v>
      </c>
      <c r="L36" s="1">
        <v>3400</v>
      </c>
      <c r="M36" s="2">
        <v>3.4136904761904734E-3</v>
      </c>
    </row>
    <row r="37" spans="6:13" x14ac:dyDescent="0.35">
      <c r="F37" s="1">
        <v>3500</v>
      </c>
      <c r="G37" s="2">
        <f>(I37-I36)/J37/24+G36</f>
        <v>3.5327380952380927E-3</v>
      </c>
      <c r="H37" s="2">
        <f t="shared" si="3"/>
        <v>1.1904761904761932E-4</v>
      </c>
      <c r="I37" s="5">
        <f t="shared" si="1"/>
        <v>3.5</v>
      </c>
      <c r="J37" s="3">
        <f>VLOOKUP(I37,$A$2:$C$12,3)</f>
        <v>35</v>
      </c>
      <c r="L37" s="1">
        <v>3500</v>
      </c>
      <c r="M37" s="2">
        <v>3.5327380952380927E-3</v>
      </c>
    </row>
    <row r="38" spans="6:13" x14ac:dyDescent="0.35">
      <c r="F38" s="1">
        <v>3600</v>
      </c>
      <c r="G38" s="2">
        <f>(I38-I37)/J38/24+G37</f>
        <v>3.616071428571426E-3</v>
      </c>
      <c r="H38" s="2">
        <f t="shared" si="3"/>
        <v>8.3333333333333263E-5</v>
      </c>
      <c r="I38" s="5">
        <f t="shared" si="1"/>
        <v>3.6</v>
      </c>
      <c r="J38" s="3">
        <f>VLOOKUP(I38,$A$2:$C$12,3)</f>
        <v>50</v>
      </c>
      <c r="L38" s="1">
        <v>3600</v>
      </c>
      <c r="M38" s="2">
        <v>3.616071428571426E-3</v>
      </c>
    </row>
    <row r="39" spans="6:13" x14ac:dyDescent="0.35">
      <c r="F39" s="1">
        <v>3700</v>
      </c>
      <c r="G39" s="2">
        <f>(I39-I38)/J39/24+G38</f>
        <v>3.6994047619047592E-3</v>
      </c>
      <c r="H39" s="2">
        <f t="shared" si="3"/>
        <v>8.3333333333333263E-5</v>
      </c>
      <c r="I39" s="5">
        <f t="shared" si="1"/>
        <v>3.7</v>
      </c>
      <c r="J39" s="3">
        <f>VLOOKUP(I39,$A$2:$C$12,3)</f>
        <v>50</v>
      </c>
      <c r="L39" s="1">
        <v>3700</v>
      </c>
      <c r="M39" s="2">
        <v>3.6994047619047592E-3</v>
      </c>
    </row>
    <row r="40" spans="6:13" x14ac:dyDescent="0.35">
      <c r="F40" s="1">
        <v>3800</v>
      </c>
      <c r="G40" s="2">
        <f>(I40-I39)/J40/24+G39</f>
        <v>3.7827380952380925E-3</v>
      </c>
      <c r="H40" s="2">
        <f t="shared" si="3"/>
        <v>8.3333333333333263E-5</v>
      </c>
      <c r="I40" s="5">
        <f t="shared" si="1"/>
        <v>3.8</v>
      </c>
      <c r="J40" s="3">
        <f>VLOOKUP(I40,$A$2:$C$12,3)</f>
        <v>50</v>
      </c>
      <c r="L40" s="1">
        <v>3800</v>
      </c>
      <c r="M40" s="2">
        <v>3.7827380952380925E-3</v>
      </c>
    </row>
    <row r="41" spans="6:13" x14ac:dyDescent="0.35">
      <c r="F41" s="1">
        <v>3900</v>
      </c>
      <c r="G41" s="2">
        <f>(I41-I40)/J41/24+G40</f>
        <v>3.8660714285714257E-3</v>
      </c>
      <c r="H41" s="2">
        <f t="shared" si="3"/>
        <v>8.3333333333333263E-5</v>
      </c>
      <c r="I41" s="5">
        <f t="shared" si="1"/>
        <v>3.9</v>
      </c>
      <c r="J41" s="3">
        <f>VLOOKUP(I41,$A$2:$C$12,3)</f>
        <v>50</v>
      </c>
      <c r="L41" s="1">
        <v>3900</v>
      </c>
      <c r="M41" s="2">
        <v>3.8660714285714257E-3</v>
      </c>
    </row>
    <row r="42" spans="6:13" x14ac:dyDescent="0.35">
      <c r="F42" s="1">
        <v>4000</v>
      </c>
      <c r="G42" s="2">
        <f>(I42-I41)/J42/24+G41</f>
        <v>3.949404761904759E-3</v>
      </c>
      <c r="H42" s="2">
        <f t="shared" si="3"/>
        <v>8.3333333333333263E-5</v>
      </c>
      <c r="I42" s="5">
        <f t="shared" si="1"/>
        <v>4</v>
      </c>
      <c r="J42" s="3">
        <f>VLOOKUP(I42,$A$2:$C$12,3)</f>
        <v>50</v>
      </c>
      <c r="L42" s="1">
        <v>4000</v>
      </c>
      <c r="M42" s="2">
        <v>3.949404761904759E-3</v>
      </c>
    </row>
    <row r="43" spans="6:13" x14ac:dyDescent="0.35">
      <c r="F43" s="1">
        <v>4100</v>
      </c>
      <c r="G43" s="2">
        <f>(I43-I42)/J43/24+G42</f>
        <v>4.0327380952380918E-3</v>
      </c>
      <c r="H43" s="2">
        <f t="shared" si="3"/>
        <v>8.3333333333332829E-5</v>
      </c>
      <c r="I43" s="5">
        <f t="shared" si="1"/>
        <v>4.0999999999999996</v>
      </c>
      <c r="J43" s="3">
        <f>VLOOKUP(I43,$A$2:$C$12,3)</f>
        <v>50</v>
      </c>
      <c r="L43" s="1">
        <v>4100</v>
      </c>
      <c r="M43" s="2">
        <v>4.0327380952380918E-3</v>
      </c>
    </row>
    <row r="44" spans="6:13" x14ac:dyDescent="0.35">
      <c r="F44" s="1">
        <v>4200</v>
      </c>
      <c r="G44" s="2">
        <f>(I44-I43)/J44/24+G43</f>
        <v>4.1160714285714255E-3</v>
      </c>
      <c r="H44" s="2">
        <f t="shared" si="3"/>
        <v>8.3333333333333696E-5</v>
      </c>
      <c r="I44" s="5">
        <f t="shared" si="1"/>
        <v>4.2</v>
      </c>
      <c r="J44" s="3">
        <f>VLOOKUP(I44,$A$2:$C$12,3)</f>
        <v>50</v>
      </c>
      <c r="L44" s="1">
        <v>4200</v>
      </c>
      <c r="M44" s="2">
        <v>4.1160714285714255E-3</v>
      </c>
    </row>
    <row r="45" spans="6:13" x14ac:dyDescent="0.35">
      <c r="F45" s="1">
        <v>4300</v>
      </c>
      <c r="G45" s="2">
        <f>(I45-I44)/J45/24+G44</f>
        <v>4.1994047619047584E-3</v>
      </c>
      <c r="H45" s="2">
        <f t="shared" si="3"/>
        <v>8.3333333333332829E-5</v>
      </c>
      <c r="I45" s="5">
        <f t="shared" si="1"/>
        <v>4.3</v>
      </c>
      <c r="J45" s="3">
        <f>VLOOKUP(I45,$A$2:$C$12,3)</f>
        <v>50</v>
      </c>
      <c r="L45" s="1">
        <v>4300</v>
      </c>
      <c r="M45" s="2">
        <v>4.1994047619047584E-3</v>
      </c>
    </row>
    <row r="46" spans="6:13" x14ac:dyDescent="0.35">
      <c r="F46" s="1">
        <v>4400</v>
      </c>
      <c r="G46" s="2">
        <f>(I46-I45)/J46/24+G45</f>
        <v>4.2827380952380921E-3</v>
      </c>
      <c r="H46" s="2">
        <f t="shared" si="3"/>
        <v>8.3333333333333696E-5</v>
      </c>
      <c r="I46" s="5">
        <f t="shared" si="1"/>
        <v>4.4000000000000004</v>
      </c>
      <c r="J46" s="3">
        <f>VLOOKUP(I46,$A$2:$C$12,3)</f>
        <v>50</v>
      </c>
      <c r="L46" s="1">
        <v>4400</v>
      </c>
      <c r="M46" s="2">
        <v>4.2827380952380921E-3</v>
      </c>
    </row>
    <row r="47" spans="6:13" x14ac:dyDescent="0.35">
      <c r="F47" s="1">
        <v>4500</v>
      </c>
      <c r="G47" s="2">
        <f>(I47-I46)/J47/24+G46</f>
        <v>4.3660714285714249E-3</v>
      </c>
      <c r="H47" s="2">
        <f t="shared" si="3"/>
        <v>8.3333333333332829E-5</v>
      </c>
      <c r="I47" s="5">
        <f t="shared" si="1"/>
        <v>4.5</v>
      </c>
      <c r="J47" s="3">
        <f>VLOOKUP(I47,$A$2:$C$12,3)</f>
        <v>50</v>
      </c>
      <c r="L47" s="1">
        <v>4500</v>
      </c>
      <c r="M47" s="2">
        <v>4.3660714285714249E-3</v>
      </c>
    </row>
    <row r="48" spans="6:13" x14ac:dyDescent="0.35">
      <c r="F48" s="1">
        <v>4600</v>
      </c>
      <c r="G48" s="2">
        <f>(I48-I47)/J48/24+G47</f>
        <v>4.4494047619047577E-3</v>
      </c>
      <c r="H48" s="2">
        <f t="shared" si="3"/>
        <v>8.3333333333332829E-5</v>
      </c>
      <c r="I48" s="5">
        <f t="shared" si="1"/>
        <v>4.5999999999999996</v>
      </c>
      <c r="J48" s="3">
        <f>VLOOKUP(I48,$A$2:$C$12,3)</f>
        <v>50</v>
      </c>
      <c r="L48" s="1">
        <v>4600</v>
      </c>
      <c r="M48" s="2">
        <v>4.4494047619047577E-3</v>
      </c>
    </row>
    <row r="49" spans="6:13" x14ac:dyDescent="0.35">
      <c r="F49" s="1">
        <v>4700</v>
      </c>
      <c r="G49" s="2">
        <f>(I49-I48)/J49/24+G48</f>
        <v>4.5327380952380914E-3</v>
      </c>
      <c r="H49" s="2">
        <f t="shared" si="3"/>
        <v>8.3333333333333696E-5</v>
      </c>
      <c r="I49" s="5">
        <f t="shared" si="1"/>
        <v>4.7</v>
      </c>
      <c r="J49" s="3">
        <f>VLOOKUP(I49,$A$2:$C$12,3)</f>
        <v>50</v>
      </c>
      <c r="L49" s="1">
        <v>4700</v>
      </c>
      <c r="M49" s="2">
        <v>4.5327380952380914E-3</v>
      </c>
    </row>
    <row r="50" spans="6:13" x14ac:dyDescent="0.35">
      <c r="F50" s="1">
        <v>4800</v>
      </c>
      <c r="G50" s="2">
        <f>(I50-I49)/J50/24+G49</f>
        <v>4.6160714285714242E-3</v>
      </c>
      <c r="H50" s="2">
        <f t="shared" si="3"/>
        <v>8.3333333333332829E-5</v>
      </c>
      <c r="I50" s="5">
        <f t="shared" si="1"/>
        <v>4.8</v>
      </c>
      <c r="J50" s="3">
        <f>VLOOKUP(I50,$A$2:$C$12,3)</f>
        <v>50</v>
      </c>
      <c r="L50" s="1">
        <v>4800</v>
      </c>
      <c r="M50" s="2">
        <v>4.6160714285714242E-3</v>
      </c>
    </row>
    <row r="51" spans="6:13" x14ac:dyDescent="0.35">
      <c r="F51" s="1">
        <v>4900</v>
      </c>
      <c r="G51" s="2">
        <f>(I51-I50)/J51/24+G50</f>
        <v>4.6994047619047579E-3</v>
      </c>
      <c r="H51" s="2">
        <f t="shared" si="3"/>
        <v>8.3333333333333696E-5</v>
      </c>
      <c r="I51" s="5">
        <f t="shared" si="1"/>
        <v>4.9000000000000004</v>
      </c>
      <c r="J51" s="3">
        <f>VLOOKUP(I51,$A$2:$C$12,3)</f>
        <v>50</v>
      </c>
      <c r="L51" s="1">
        <v>4900</v>
      </c>
      <c r="M51" s="2">
        <v>4.6994047619047579E-3</v>
      </c>
    </row>
    <row r="52" spans="6:13" x14ac:dyDescent="0.35">
      <c r="F52" s="1">
        <v>5000</v>
      </c>
      <c r="G52" s="2">
        <f>(I52-I51)/J52/24+G51</f>
        <v>4.7827380952380908E-3</v>
      </c>
      <c r="H52" s="2">
        <f t="shared" si="3"/>
        <v>8.3333333333332829E-5</v>
      </c>
      <c r="I52" s="5">
        <f t="shared" si="1"/>
        <v>5</v>
      </c>
      <c r="J52" s="3">
        <f>VLOOKUP(I52,$A$2:$C$12,3)</f>
        <v>50</v>
      </c>
      <c r="L52" s="1">
        <v>5000</v>
      </c>
      <c r="M52" s="2">
        <v>4.7827380952380908E-3</v>
      </c>
    </row>
    <row r="53" spans="6:13" x14ac:dyDescent="0.35">
      <c r="F53" s="1">
        <v>5100</v>
      </c>
      <c r="G53" s="2">
        <f>(I53-I52)/J53/24+G52</f>
        <v>4.8660714285714236E-3</v>
      </c>
      <c r="H53" s="2">
        <f t="shared" si="3"/>
        <v>8.3333333333332829E-5</v>
      </c>
      <c r="I53" s="5">
        <f t="shared" si="1"/>
        <v>5.0999999999999996</v>
      </c>
      <c r="J53" s="3">
        <f>VLOOKUP(I53,$A$2:$C$12,3)</f>
        <v>50</v>
      </c>
      <c r="L53" s="1">
        <v>5100</v>
      </c>
      <c r="M53" s="2">
        <v>4.8660714285714236E-3</v>
      </c>
    </row>
    <row r="54" spans="6:13" x14ac:dyDescent="0.35">
      <c r="F54" s="1">
        <v>5200</v>
      </c>
      <c r="G54" s="2">
        <f>(I54-I53)/J54/24+G53</f>
        <v>4.9494047619047573E-3</v>
      </c>
      <c r="H54" s="2">
        <f t="shared" si="3"/>
        <v>8.3333333333333696E-5</v>
      </c>
      <c r="I54" s="5">
        <f t="shared" si="1"/>
        <v>5.2</v>
      </c>
      <c r="J54" s="3">
        <f>VLOOKUP(I54,$A$2:$C$12,3)</f>
        <v>50</v>
      </c>
      <c r="L54" s="1">
        <v>5200</v>
      </c>
      <c r="M54" s="2">
        <v>4.9494047619047573E-3</v>
      </c>
    </row>
    <row r="55" spans="6:13" x14ac:dyDescent="0.35">
      <c r="F55" s="1">
        <v>5300</v>
      </c>
      <c r="G55" s="2">
        <f>(I55-I54)/J55/24+G54</f>
        <v>5.0327380952380901E-3</v>
      </c>
      <c r="H55" s="2">
        <f t="shared" si="3"/>
        <v>8.3333333333332829E-5</v>
      </c>
      <c r="I55" s="5">
        <f t="shared" si="1"/>
        <v>5.3</v>
      </c>
      <c r="J55" s="3">
        <f>VLOOKUP(I55,$A$2:$C$12,3)</f>
        <v>50</v>
      </c>
      <c r="L55" s="1">
        <v>5300</v>
      </c>
      <c r="M55" s="2">
        <v>5.0327380952380901E-3</v>
      </c>
    </row>
    <row r="56" spans="6:13" x14ac:dyDescent="0.35">
      <c r="F56" s="1">
        <v>5400</v>
      </c>
      <c r="G56" s="2">
        <f>(I56-I55)/J56/24+G55</f>
        <v>5.1160714285714238E-3</v>
      </c>
      <c r="H56" s="2">
        <f t="shared" si="3"/>
        <v>8.3333333333333696E-5</v>
      </c>
      <c r="I56" s="5">
        <f t="shared" si="1"/>
        <v>5.4</v>
      </c>
      <c r="J56" s="3">
        <f>VLOOKUP(I56,$A$2:$C$12,3)</f>
        <v>50</v>
      </c>
      <c r="L56" s="1">
        <v>5400</v>
      </c>
      <c r="M56" s="2">
        <v>5.1160714285714238E-3</v>
      </c>
    </row>
    <row r="57" spans="6:13" x14ac:dyDescent="0.35">
      <c r="F57" s="1">
        <v>5500</v>
      </c>
      <c r="G57" s="2">
        <f>(I57-I56)/J57/24+G56</f>
        <v>5.1994047619047567E-3</v>
      </c>
      <c r="H57" s="2">
        <f t="shared" si="3"/>
        <v>8.3333333333332829E-5</v>
      </c>
      <c r="I57" s="5">
        <f t="shared" si="1"/>
        <v>5.5</v>
      </c>
      <c r="J57" s="3">
        <f>VLOOKUP(I57,$A$2:$C$12,3)</f>
        <v>50</v>
      </c>
      <c r="L57" s="1">
        <v>5500</v>
      </c>
      <c r="M57" s="2">
        <v>5.1994047619047567E-3</v>
      </c>
    </row>
    <row r="58" spans="6:13" x14ac:dyDescent="0.35">
      <c r="F58" s="1">
        <v>5600</v>
      </c>
      <c r="G58" s="2">
        <f>(I58-I57)/J58/24+G57</f>
        <v>5.2827380952380895E-3</v>
      </c>
      <c r="H58" s="2">
        <f t="shared" si="3"/>
        <v>8.3333333333332829E-5</v>
      </c>
      <c r="I58" s="5">
        <f t="shared" si="1"/>
        <v>5.6</v>
      </c>
      <c r="J58" s="3">
        <f>VLOOKUP(I58,$A$2:$C$12,3)</f>
        <v>50</v>
      </c>
      <c r="L58" s="1">
        <v>5600</v>
      </c>
      <c r="M58" s="2">
        <v>5.2827380952380895E-3</v>
      </c>
    </row>
    <row r="59" spans="6:13" x14ac:dyDescent="0.35">
      <c r="F59" s="1">
        <v>5700</v>
      </c>
      <c r="G59" s="2">
        <f>(I59-I58)/J59/24+G58</f>
        <v>5.3660714285714232E-3</v>
      </c>
      <c r="H59" s="2">
        <f t="shared" si="3"/>
        <v>8.3333333333333696E-5</v>
      </c>
      <c r="I59" s="5">
        <f t="shared" si="1"/>
        <v>5.7</v>
      </c>
      <c r="J59" s="3">
        <f>VLOOKUP(I59,$A$2:$C$12,3)</f>
        <v>50</v>
      </c>
      <c r="L59" s="1">
        <v>5700</v>
      </c>
      <c r="M59" s="2">
        <v>5.3660714285714232E-3</v>
      </c>
    </row>
    <row r="60" spans="6:13" x14ac:dyDescent="0.35">
      <c r="F60" s="1">
        <v>5800</v>
      </c>
      <c r="G60" s="2">
        <f>(I60-I59)/J60/24+G59</f>
        <v>5.449404761904756E-3</v>
      </c>
      <c r="H60" s="2">
        <f t="shared" si="3"/>
        <v>8.3333333333332829E-5</v>
      </c>
      <c r="I60" s="5">
        <f t="shared" si="1"/>
        <v>5.8</v>
      </c>
      <c r="J60" s="3">
        <f>VLOOKUP(I60,$A$2:$C$12,3)</f>
        <v>50</v>
      </c>
      <c r="L60" s="1">
        <v>5800</v>
      </c>
      <c r="M60" s="2">
        <v>5.449404761904756E-3</v>
      </c>
    </row>
    <row r="61" spans="6:13" x14ac:dyDescent="0.35">
      <c r="F61" s="1">
        <v>5900</v>
      </c>
      <c r="G61" s="2">
        <f>(I61-I60)/J61/24+G60</f>
        <v>5.5327380952380897E-3</v>
      </c>
      <c r="H61" s="2">
        <f t="shared" si="3"/>
        <v>8.3333333333333696E-5</v>
      </c>
      <c r="I61" s="5">
        <f t="shared" si="1"/>
        <v>5.9</v>
      </c>
      <c r="J61" s="3">
        <f>VLOOKUP(I61,$A$2:$C$12,3)</f>
        <v>50</v>
      </c>
      <c r="L61" s="1">
        <v>5900</v>
      </c>
      <c r="M61" s="2">
        <v>5.5327380952380897E-3</v>
      </c>
    </row>
    <row r="62" spans="6:13" x14ac:dyDescent="0.35">
      <c r="F62" s="1">
        <v>6000</v>
      </c>
      <c r="G62" s="2">
        <f>(I62-I61)/J62/24+G61</f>
        <v>5.6160714285714225E-3</v>
      </c>
      <c r="H62" s="2">
        <f t="shared" si="3"/>
        <v>8.3333333333332829E-5</v>
      </c>
      <c r="I62" s="5">
        <f t="shared" si="1"/>
        <v>6</v>
      </c>
      <c r="J62" s="3">
        <f>VLOOKUP(I62,$A$2:$C$12,3)</f>
        <v>50</v>
      </c>
      <c r="L62" s="1">
        <v>6000</v>
      </c>
      <c r="M62" s="2">
        <v>5.6160714285714225E-3</v>
      </c>
    </row>
    <row r="63" spans="6:13" x14ac:dyDescent="0.35">
      <c r="F63" s="1">
        <v>6100</v>
      </c>
      <c r="G63" s="2">
        <f>(I63-I62)/J63/24+G62</f>
        <v>5.6994047619047554E-3</v>
      </c>
      <c r="H63" s="2">
        <f t="shared" si="3"/>
        <v>8.3333333333332829E-5</v>
      </c>
      <c r="I63" s="5">
        <f t="shared" si="1"/>
        <v>6.1</v>
      </c>
      <c r="J63" s="3">
        <f>VLOOKUP(I63,$A$2:$C$12,3)</f>
        <v>50</v>
      </c>
      <c r="L63" s="1">
        <v>6100</v>
      </c>
      <c r="M63" s="2">
        <v>5.6994047619047554E-3</v>
      </c>
    </row>
    <row r="64" spans="6:13" x14ac:dyDescent="0.35">
      <c r="F64" s="1">
        <v>6200</v>
      </c>
      <c r="G64" s="2">
        <f>(I64-I63)/J64/24+G63</f>
        <v>5.7827380952380891E-3</v>
      </c>
      <c r="H64" s="2">
        <f t="shared" si="3"/>
        <v>8.3333333333333696E-5</v>
      </c>
      <c r="I64" s="5">
        <f t="shared" si="1"/>
        <v>6.2</v>
      </c>
      <c r="J64" s="3">
        <f>VLOOKUP(I64,$A$2:$C$12,3)</f>
        <v>50</v>
      </c>
      <c r="L64" s="1">
        <v>6200</v>
      </c>
      <c r="M64" s="2">
        <v>5.7827380952380891E-3</v>
      </c>
    </row>
    <row r="65" spans="6:13" x14ac:dyDescent="0.35">
      <c r="F65" s="1">
        <v>6300</v>
      </c>
      <c r="G65" s="2">
        <f>(I65-I64)/J65/24+G64</f>
        <v>5.8660714285714219E-3</v>
      </c>
      <c r="H65" s="2">
        <f t="shared" si="3"/>
        <v>8.3333333333332829E-5</v>
      </c>
      <c r="I65" s="5">
        <f t="shared" si="1"/>
        <v>6.3</v>
      </c>
      <c r="J65" s="3">
        <f>VLOOKUP(I65,$A$2:$C$12,3)</f>
        <v>50</v>
      </c>
      <c r="L65" s="1">
        <v>6300</v>
      </c>
      <c r="M65" s="2">
        <v>5.8660714285714219E-3</v>
      </c>
    </row>
    <row r="66" spans="6:13" x14ac:dyDescent="0.35">
      <c r="F66" s="1">
        <v>6400</v>
      </c>
      <c r="G66" s="2">
        <f>(I66-I65)/J66/24+G65</f>
        <v>5.9494047619047556E-3</v>
      </c>
      <c r="H66" s="2">
        <f t="shared" si="3"/>
        <v>8.3333333333333696E-5</v>
      </c>
      <c r="I66" s="5">
        <f t="shared" si="1"/>
        <v>6.4</v>
      </c>
      <c r="J66" s="3">
        <f>VLOOKUP(I66,$A$2:$C$12,3)</f>
        <v>50</v>
      </c>
      <c r="L66" s="1">
        <v>6400</v>
      </c>
      <c r="M66" s="2">
        <v>5.9494047619047556E-3</v>
      </c>
    </row>
    <row r="67" spans="6:13" x14ac:dyDescent="0.35">
      <c r="F67" s="1">
        <v>6500</v>
      </c>
      <c r="G67" s="2">
        <f>(I67-I66)/J67/24+G66</f>
        <v>6.0327380952380884E-3</v>
      </c>
      <c r="H67" s="2">
        <f t="shared" si="3"/>
        <v>8.3333333333332829E-5</v>
      </c>
      <c r="I67" s="5">
        <f t="shared" ref="I67:I77" si="4">F67/1000</f>
        <v>6.5</v>
      </c>
      <c r="J67" s="3">
        <f t="shared" ref="J67:J77" si="5">VLOOKUP(I67,$A$2:$C$12,3)</f>
        <v>50</v>
      </c>
      <c r="L67" s="1">
        <v>6500</v>
      </c>
      <c r="M67" s="2">
        <v>6.0327380952380884E-3</v>
      </c>
    </row>
    <row r="68" spans="6:13" x14ac:dyDescent="0.35">
      <c r="F68" s="1">
        <v>6600</v>
      </c>
      <c r="G68" s="2">
        <f>(I68-I67)/J68/24+G67</f>
        <v>6.1160714285714212E-3</v>
      </c>
      <c r="H68" s="2">
        <f t="shared" ref="H68:H77" si="6">(G68-G67)</f>
        <v>8.3333333333332829E-5</v>
      </c>
      <c r="I68" s="5">
        <f t="shared" si="4"/>
        <v>6.6</v>
      </c>
      <c r="J68" s="3">
        <f t="shared" si="5"/>
        <v>50</v>
      </c>
      <c r="L68" s="1">
        <v>6600</v>
      </c>
      <c r="M68" s="2">
        <v>6.1160714285714212E-3</v>
      </c>
    </row>
    <row r="69" spans="6:13" x14ac:dyDescent="0.35">
      <c r="F69" s="1">
        <v>6700</v>
      </c>
      <c r="G69" s="2">
        <f>(I69-I68)/J69/24+G68</f>
        <v>6.1994047619047549E-3</v>
      </c>
      <c r="H69" s="2">
        <f t="shared" si="6"/>
        <v>8.3333333333333696E-5</v>
      </c>
      <c r="I69" s="5">
        <f t="shared" si="4"/>
        <v>6.7</v>
      </c>
      <c r="J69" s="3">
        <f t="shared" si="5"/>
        <v>50</v>
      </c>
      <c r="L69" s="1">
        <v>6700</v>
      </c>
      <c r="M69" s="2">
        <v>6.1994047619047549E-3</v>
      </c>
    </row>
    <row r="70" spans="6:13" x14ac:dyDescent="0.35">
      <c r="F70" s="1">
        <v>6800</v>
      </c>
      <c r="G70" s="2">
        <f>(I70-I69)/J70/24+G69</f>
        <v>6.2827380952380878E-3</v>
      </c>
      <c r="H70" s="2">
        <f t="shared" si="6"/>
        <v>8.3333333333332829E-5</v>
      </c>
      <c r="I70" s="5">
        <f t="shared" si="4"/>
        <v>6.8</v>
      </c>
      <c r="J70" s="3">
        <f t="shared" si="5"/>
        <v>50</v>
      </c>
      <c r="L70" s="1">
        <v>6800</v>
      </c>
      <c r="M70" s="2">
        <v>6.2827380952380878E-3</v>
      </c>
    </row>
    <row r="71" spans="6:13" x14ac:dyDescent="0.35">
      <c r="F71" s="1">
        <v>6900</v>
      </c>
      <c r="G71" s="2">
        <f>(I71-I70)/J71/24+G70</f>
        <v>6.3660714285714215E-3</v>
      </c>
      <c r="H71" s="2">
        <f t="shared" si="6"/>
        <v>8.3333333333333696E-5</v>
      </c>
      <c r="I71" s="5">
        <f t="shared" si="4"/>
        <v>6.9</v>
      </c>
      <c r="J71" s="3">
        <f t="shared" si="5"/>
        <v>50</v>
      </c>
      <c r="L71" s="1">
        <v>6900</v>
      </c>
      <c r="M71" s="2">
        <v>6.3660714285714215E-3</v>
      </c>
    </row>
    <row r="72" spans="6:13" x14ac:dyDescent="0.35">
      <c r="F72" s="1">
        <v>7000</v>
      </c>
      <c r="G72" s="2">
        <f>(I72-I71)/J72/24+G71</f>
        <v>6.4494047619047543E-3</v>
      </c>
      <c r="H72" s="2">
        <f t="shared" si="6"/>
        <v>8.3333333333332829E-5</v>
      </c>
      <c r="I72" s="5">
        <f t="shared" si="4"/>
        <v>7</v>
      </c>
      <c r="J72" s="3">
        <f t="shared" si="5"/>
        <v>50</v>
      </c>
      <c r="L72" s="1">
        <v>7000</v>
      </c>
      <c r="M72" s="2">
        <v>6.4494047619047543E-3</v>
      </c>
    </row>
    <row r="73" spans="6:13" x14ac:dyDescent="0.35">
      <c r="F73" s="1">
        <v>7100</v>
      </c>
      <c r="G73" s="2">
        <f>(I73-I72)/J73/24+G72</f>
        <v>6.5327380952380871E-3</v>
      </c>
      <c r="H73" s="2">
        <f t="shared" si="6"/>
        <v>8.3333333333332829E-5</v>
      </c>
      <c r="I73" s="5">
        <f t="shared" si="4"/>
        <v>7.1</v>
      </c>
      <c r="J73" s="3">
        <f t="shared" si="5"/>
        <v>50</v>
      </c>
      <c r="L73" s="1">
        <v>7100</v>
      </c>
      <c r="M73" s="2">
        <v>6.5327380952380871E-3</v>
      </c>
    </row>
    <row r="74" spans="6:13" x14ac:dyDescent="0.35">
      <c r="F74" s="1">
        <v>7200</v>
      </c>
      <c r="G74" s="2">
        <f>(I74-I73)/J74/24+G73</f>
        <v>6.6160714285714208E-3</v>
      </c>
      <c r="H74" s="2">
        <f t="shared" si="6"/>
        <v>8.3333333333333696E-5</v>
      </c>
      <c r="I74" s="5">
        <f t="shared" si="4"/>
        <v>7.2</v>
      </c>
      <c r="J74" s="3">
        <f t="shared" si="5"/>
        <v>50</v>
      </c>
      <c r="L74" s="1">
        <v>7200</v>
      </c>
      <c r="M74" s="2">
        <v>6.6160714285714208E-3</v>
      </c>
    </row>
    <row r="75" spans="6:13" x14ac:dyDescent="0.35">
      <c r="F75" s="1">
        <v>7300</v>
      </c>
      <c r="G75" s="2">
        <f>(I75-I74)/J75/24+G74</f>
        <v>6.6994047619047536E-3</v>
      </c>
      <c r="H75" s="2">
        <f t="shared" si="6"/>
        <v>8.3333333333332829E-5</v>
      </c>
      <c r="I75" s="5">
        <f t="shared" si="4"/>
        <v>7.3</v>
      </c>
      <c r="J75" s="3">
        <f t="shared" si="5"/>
        <v>50</v>
      </c>
      <c r="L75" s="1">
        <v>7300</v>
      </c>
      <c r="M75" s="2">
        <v>6.6994047619047536E-3</v>
      </c>
    </row>
    <row r="76" spans="6:13" x14ac:dyDescent="0.35">
      <c r="F76" s="1">
        <v>7400</v>
      </c>
      <c r="G76" s="2">
        <f>(I76-I75)/J76/24+G75</f>
        <v>6.7827380952380873E-3</v>
      </c>
      <c r="H76" s="2">
        <f t="shared" si="6"/>
        <v>8.3333333333333696E-5</v>
      </c>
      <c r="I76" s="5">
        <f t="shared" si="4"/>
        <v>7.4</v>
      </c>
      <c r="J76" s="3">
        <f t="shared" si="5"/>
        <v>50</v>
      </c>
      <c r="L76" s="1">
        <v>7400</v>
      </c>
      <c r="M76" s="2">
        <v>6.7827380952380873E-3</v>
      </c>
    </row>
    <row r="77" spans="6:13" x14ac:dyDescent="0.35">
      <c r="F77" s="1">
        <v>7416</v>
      </c>
      <c r="G77" s="2">
        <f>(I77-I76)/J77/24+G76</f>
        <v>6.7960714285714204E-3</v>
      </c>
      <c r="H77" s="2">
        <f t="shared" si="6"/>
        <v>1.3333333333333079E-5</v>
      </c>
      <c r="I77" s="5">
        <f t="shared" si="4"/>
        <v>7.4160000000000004</v>
      </c>
      <c r="J77" s="3">
        <f t="shared" si="5"/>
        <v>50</v>
      </c>
      <c r="L77" s="1">
        <v>7416</v>
      </c>
      <c r="M77" s="2">
        <v>6.7960714285714204E-3</v>
      </c>
    </row>
  </sheetData>
  <conditionalFormatting sqref="J2:J77">
    <cfRule type="colorScale" priority="1">
      <colorScale>
        <cfvo type="num" val="20"/>
        <cfvo type="num" val="35"/>
        <cfvo type="num" val="50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SG_TC04_01</vt:lpstr>
      <vt:lpstr>SG_TC12_01</vt:lpstr>
      <vt:lpstr>SG_TC14_01</vt:lpstr>
      <vt:lpstr>Sheet3</vt:lpstr>
      <vt:lpstr>RPR_TC01_01</vt:lpstr>
      <vt:lpstr>ejemplo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FerDT</dc:creator>
  <cp:lastModifiedBy>FerDT</cp:lastModifiedBy>
  <dcterms:created xsi:type="dcterms:W3CDTF">2026-02-09T08:09:30Z</dcterms:created>
  <dcterms:modified xsi:type="dcterms:W3CDTF">2026-02-13T17:43:16Z</dcterms:modified>
</cp:coreProperties>
</file>